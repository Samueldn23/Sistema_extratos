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amuel Neves\.openclaw\workspace\Sistema_extratos\"/>
    </mc:Choice>
  </mc:AlternateContent>
  <xr:revisionPtr revIDLastSave="0" documentId="13_ncr:1_{908FC19E-1E28-4AF4-A10C-136602206BEF}" xr6:coauthVersionLast="47" xr6:coauthVersionMax="47" xr10:uidLastSave="{00000000-0000-0000-0000-000000000000}"/>
  <bookViews>
    <workbookView xWindow="9675" yWindow="480" windowWidth="19230" windowHeight="15045" tabRatio="788" activeTab="12" xr2:uid="{00000000-000D-0000-FFFF-FFFF00000000}"/>
  </bookViews>
  <sheets>
    <sheet name="Recebidos" sheetId="1" r:id="rId1"/>
    <sheet name="Cred 40" sheetId="2" r:id="rId2"/>
    <sheet name="Cred 19" sheetId="3" r:id="rId3"/>
    <sheet name="01-04 de 23" sheetId="4" state="hidden" r:id="rId4"/>
    <sheet name="05-08 de 23" sheetId="5" state="hidden" r:id="rId5"/>
    <sheet name="09-12 de 23" sheetId="6" state="hidden" r:id="rId6"/>
    <sheet name="01-04 de 24" sheetId="7" state="hidden" r:id="rId7"/>
    <sheet name="05-08 de 24" sheetId="8" state="hidden" r:id="rId8"/>
    <sheet name="09-12 de 24" sheetId="9" state="hidden" r:id="rId9"/>
    <sheet name="Completa_2" sheetId="10" state="hidden" r:id="rId10"/>
    <sheet name="Completa" sheetId="12" state="hidden" r:id="rId11"/>
    <sheet name="Completa Juros" sheetId="13" r:id="rId12"/>
    <sheet name="Completa s-juros" sheetId="11" r:id="rId13"/>
    <sheet name="Planilha2" sheetId="15" r:id="rId14"/>
    <sheet name="Planilha1" sheetId="14" r:id="rId15"/>
  </sheets>
  <definedNames>
    <definedName name="_xlnm._FilterDatabase" localSheetId="14" hidden="1">Planilha1!$A$1:$C$79</definedName>
    <definedName name="_xlnm._FilterDatabase" localSheetId="13" hidden="1">Planilha2!$A$1:$C$112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2" i="11" l="1"/>
  <c r="E1" i="15"/>
  <c r="E1" i="14"/>
  <c r="O161" i="11"/>
  <c r="K161" i="11"/>
  <c r="G161" i="11"/>
  <c r="C161" i="11"/>
  <c r="N153" i="11"/>
  <c r="N163" i="11" s="1"/>
  <c r="J153" i="11"/>
  <c r="J163" i="11" s="1"/>
  <c r="F153" i="11"/>
  <c r="F163" i="11" s="1"/>
  <c r="B153" i="11"/>
  <c r="B163" i="11" s="1"/>
  <c r="M147" i="11"/>
  <c r="I147" i="11"/>
  <c r="E147" i="11"/>
  <c r="A147" i="11"/>
  <c r="N146" i="11"/>
  <c r="J146" i="11"/>
  <c r="F146" i="11"/>
  <c r="B146" i="11"/>
  <c r="M144" i="11"/>
  <c r="I144" i="11"/>
  <c r="E144" i="11"/>
  <c r="A144" i="11"/>
  <c r="O138" i="11"/>
  <c r="K138" i="11"/>
  <c r="G138" i="11"/>
  <c r="C138" i="11"/>
  <c r="N130" i="11"/>
  <c r="N140" i="11" s="1"/>
  <c r="J130" i="11"/>
  <c r="J140" i="11" s="1"/>
  <c r="F130" i="11"/>
  <c r="F140" i="11" s="1"/>
  <c r="B130" i="11"/>
  <c r="B140" i="11" s="1"/>
  <c r="M124" i="11"/>
  <c r="I124" i="11"/>
  <c r="E124" i="11"/>
  <c r="A124" i="11"/>
  <c r="N123" i="11"/>
  <c r="J123" i="11"/>
  <c r="F123" i="11"/>
  <c r="B123" i="11"/>
  <c r="M121" i="11"/>
  <c r="I121" i="11"/>
  <c r="E121" i="11"/>
  <c r="A121" i="11"/>
  <c r="K96" i="13"/>
  <c r="C96" i="13"/>
  <c r="E82" i="13" s="1"/>
  <c r="C73" i="13"/>
  <c r="G59" i="13" s="1"/>
  <c r="C50" i="13"/>
  <c r="G36" i="13" s="1"/>
  <c r="C27" i="13"/>
  <c r="G13" i="13" s="1"/>
  <c r="N117" i="13"/>
  <c r="O115" i="13"/>
  <c r="K115" i="13"/>
  <c r="G115" i="13"/>
  <c r="C115" i="13"/>
  <c r="N107" i="13"/>
  <c r="J107" i="13"/>
  <c r="J117" i="13" s="1"/>
  <c r="F107" i="13"/>
  <c r="F117" i="13" s="1"/>
  <c r="B107" i="13"/>
  <c r="B117" i="13" s="1"/>
  <c r="M101" i="13"/>
  <c r="I101" i="13"/>
  <c r="E101" i="13"/>
  <c r="A101" i="13"/>
  <c r="N100" i="13"/>
  <c r="J100" i="13"/>
  <c r="F100" i="13"/>
  <c r="B100" i="13"/>
  <c r="M98" i="13"/>
  <c r="I98" i="13"/>
  <c r="E98" i="13"/>
  <c r="A98" i="13"/>
  <c r="O92" i="13"/>
  <c r="K92" i="13"/>
  <c r="G92" i="13"/>
  <c r="C92" i="13"/>
  <c r="N84" i="13"/>
  <c r="N94" i="13" s="1"/>
  <c r="J84" i="13"/>
  <c r="J94" i="13" s="1"/>
  <c r="F84" i="13"/>
  <c r="F94" i="13" s="1"/>
  <c r="B84" i="13"/>
  <c r="B94" i="13" s="1"/>
  <c r="F82" i="13"/>
  <c r="C82" i="13"/>
  <c r="M78" i="13"/>
  <c r="I78" i="13"/>
  <c r="E78" i="13"/>
  <c r="A78" i="13"/>
  <c r="N77" i="13"/>
  <c r="J77" i="13"/>
  <c r="F77" i="13"/>
  <c r="B77" i="13"/>
  <c r="M75" i="13"/>
  <c r="I75" i="13"/>
  <c r="E75" i="13"/>
  <c r="A75" i="13"/>
  <c r="O69" i="13"/>
  <c r="K69" i="13"/>
  <c r="G69" i="13"/>
  <c r="C69" i="13"/>
  <c r="N61" i="13"/>
  <c r="N71" i="13" s="1"/>
  <c r="J61" i="13"/>
  <c r="J71" i="13" s="1"/>
  <c r="F61" i="13"/>
  <c r="F71" i="13" s="1"/>
  <c r="B61" i="13"/>
  <c r="B71" i="13" s="1"/>
  <c r="E59" i="13"/>
  <c r="C59" i="13"/>
  <c r="N54" i="13"/>
  <c r="J54" i="13"/>
  <c r="F54" i="13"/>
  <c r="B54" i="13"/>
  <c r="M52" i="13"/>
  <c r="I52" i="13"/>
  <c r="E52" i="13"/>
  <c r="A52" i="13"/>
  <c r="O46" i="13"/>
  <c r="K46" i="13"/>
  <c r="G46" i="13"/>
  <c r="C46" i="13"/>
  <c r="N38" i="13"/>
  <c r="J38" i="13"/>
  <c r="F38" i="13"/>
  <c r="B38" i="13"/>
  <c r="F36" i="13"/>
  <c r="E36" i="13"/>
  <c r="C36" i="13"/>
  <c r="N31" i="13"/>
  <c r="J31" i="13"/>
  <c r="F31" i="13"/>
  <c r="B31" i="13"/>
  <c r="M29" i="13"/>
  <c r="I29" i="13"/>
  <c r="E29" i="13"/>
  <c r="A29" i="13"/>
  <c r="O23" i="13"/>
  <c r="K23" i="13"/>
  <c r="G23" i="13"/>
  <c r="C23" i="13"/>
  <c r="N15" i="13"/>
  <c r="N25" i="13" s="1"/>
  <c r="J15" i="13"/>
  <c r="J25" i="13" s="1"/>
  <c r="F15" i="13"/>
  <c r="F25" i="13" s="1"/>
  <c r="C15" i="13"/>
  <c r="C25" i="13" s="1"/>
  <c r="G4" i="13" s="1"/>
  <c r="B15" i="13"/>
  <c r="B25" i="13" s="1"/>
  <c r="C9" i="13"/>
  <c r="M2" i="13"/>
  <c r="I2" i="13"/>
  <c r="E2" i="13"/>
  <c r="A2" i="13"/>
  <c r="G61" i="12"/>
  <c r="O28" i="5"/>
  <c r="O14" i="5"/>
  <c r="C9" i="11"/>
  <c r="G69" i="12"/>
  <c r="C9" i="12"/>
  <c r="C8" i="12"/>
  <c r="C15" i="12" s="1"/>
  <c r="O115" i="12"/>
  <c r="K115" i="12"/>
  <c r="G115" i="12"/>
  <c r="C115" i="12"/>
  <c r="N107" i="12"/>
  <c r="N117" i="12" s="1"/>
  <c r="J107" i="12"/>
  <c r="J117" i="12" s="1"/>
  <c r="F107" i="12"/>
  <c r="F117" i="12" s="1"/>
  <c r="B107" i="12"/>
  <c r="B117" i="12" s="1"/>
  <c r="M101" i="12"/>
  <c r="I101" i="12"/>
  <c r="E101" i="12"/>
  <c r="A101" i="12"/>
  <c r="N100" i="12"/>
  <c r="J100" i="12"/>
  <c r="F100" i="12"/>
  <c r="B100" i="12"/>
  <c r="M98" i="12"/>
  <c r="I98" i="12"/>
  <c r="E98" i="12"/>
  <c r="A98" i="12"/>
  <c r="O92" i="12"/>
  <c r="K92" i="12"/>
  <c r="G92" i="12"/>
  <c r="C92" i="12"/>
  <c r="N84" i="12"/>
  <c r="N94" i="12" s="1"/>
  <c r="J84" i="12"/>
  <c r="J94" i="12" s="1"/>
  <c r="F84" i="12"/>
  <c r="F94" i="12" s="1"/>
  <c r="B84" i="12"/>
  <c r="B94" i="12" s="1"/>
  <c r="O82" i="12"/>
  <c r="N82" i="12"/>
  <c r="M82" i="12"/>
  <c r="K82" i="12"/>
  <c r="J82" i="12"/>
  <c r="I82" i="12"/>
  <c r="G82" i="12"/>
  <c r="F82" i="12"/>
  <c r="E82" i="12"/>
  <c r="C82" i="12"/>
  <c r="B82" i="12"/>
  <c r="A82" i="12"/>
  <c r="M78" i="12"/>
  <c r="I78" i="12"/>
  <c r="E78" i="12"/>
  <c r="A78" i="12"/>
  <c r="N77" i="12"/>
  <c r="J77" i="12"/>
  <c r="F77" i="12"/>
  <c r="B77" i="12"/>
  <c r="M75" i="12"/>
  <c r="I75" i="12"/>
  <c r="E75" i="12"/>
  <c r="A75" i="12"/>
  <c r="O69" i="12"/>
  <c r="K69" i="12"/>
  <c r="C69" i="12"/>
  <c r="N61" i="12"/>
  <c r="N71" i="12" s="1"/>
  <c r="J61" i="12"/>
  <c r="J71" i="12" s="1"/>
  <c r="F61" i="12"/>
  <c r="F71" i="12" s="1"/>
  <c r="B61" i="12"/>
  <c r="B71" i="12" s="1"/>
  <c r="O59" i="12"/>
  <c r="N59" i="12"/>
  <c r="M59" i="12"/>
  <c r="K59" i="12"/>
  <c r="J59" i="12"/>
  <c r="I59" i="12"/>
  <c r="G59" i="12"/>
  <c r="F59" i="12"/>
  <c r="E59" i="12"/>
  <c r="C59" i="12"/>
  <c r="B59" i="12"/>
  <c r="A59" i="12"/>
  <c r="N54" i="12"/>
  <c r="J54" i="12"/>
  <c r="F54" i="12"/>
  <c r="B54" i="12"/>
  <c r="M52" i="12"/>
  <c r="I52" i="12"/>
  <c r="E52" i="12"/>
  <c r="A52" i="12"/>
  <c r="O46" i="12"/>
  <c r="K46" i="12"/>
  <c r="G46" i="12"/>
  <c r="C46" i="12"/>
  <c r="N38" i="12"/>
  <c r="J38" i="12"/>
  <c r="F38" i="12"/>
  <c r="B38" i="12"/>
  <c r="O36" i="12"/>
  <c r="N36" i="12"/>
  <c r="M36" i="12"/>
  <c r="K36" i="12"/>
  <c r="J36" i="12"/>
  <c r="I36" i="12"/>
  <c r="G36" i="12"/>
  <c r="F36" i="12"/>
  <c r="E36" i="12"/>
  <c r="C36" i="12"/>
  <c r="B36" i="12"/>
  <c r="A36" i="12"/>
  <c r="N31" i="12"/>
  <c r="J31" i="12"/>
  <c r="F31" i="12"/>
  <c r="B31" i="12"/>
  <c r="M29" i="12"/>
  <c r="I29" i="12"/>
  <c r="E29" i="12"/>
  <c r="A29" i="12"/>
  <c r="O23" i="12"/>
  <c r="K23" i="12"/>
  <c r="G23" i="12"/>
  <c r="C23" i="12"/>
  <c r="N15" i="12"/>
  <c r="N25" i="12" s="1"/>
  <c r="J15" i="12"/>
  <c r="J25" i="12" s="1"/>
  <c r="F15" i="12"/>
  <c r="F25" i="12" s="1"/>
  <c r="B15" i="12"/>
  <c r="B25" i="12" s="1"/>
  <c r="O13" i="12"/>
  <c r="N13" i="12"/>
  <c r="M13" i="12"/>
  <c r="K13" i="12"/>
  <c r="J13" i="12"/>
  <c r="I13" i="12"/>
  <c r="G13" i="12"/>
  <c r="F13" i="12"/>
  <c r="E13" i="12"/>
  <c r="M2" i="12"/>
  <c r="I2" i="12"/>
  <c r="E2" i="12"/>
  <c r="A2" i="12"/>
  <c r="E13" i="11"/>
  <c r="F13" i="11"/>
  <c r="G13" i="11"/>
  <c r="A27" i="4"/>
  <c r="E27" i="4"/>
  <c r="I27" i="4"/>
  <c r="M27" i="4"/>
  <c r="B36" i="4"/>
  <c r="C36" i="4"/>
  <c r="F36" i="4"/>
  <c r="G36" i="4"/>
  <c r="J36" i="4"/>
  <c r="K36" i="4"/>
  <c r="N36" i="4"/>
  <c r="O36" i="4"/>
  <c r="C44" i="4"/>
  <c r="G44" i="4"/>
  <c r="G46" i="4" s="1"/>
  <c r="G48" i="4" s="1"/>
  <c r="K44" i="4"/>
  <c r="O44" i="4"/>
  <c r="B46" i="4"/>
  <c r="C46" i="4"/>
  <c r="C48" i="4" s="1"/>
  <c r="F46" i="4"/>
  <c r="J46" i="4"/>
  <c r="K46" i="4"/>
  <c r="K48" i="4" s="1"/>
  <c r="N46" i="4"/>
  <c r="O46" i="4"/>
  <c r="O48" i="4"/>
  <c r="O115" i="11"/>
  <c r="K115" i="11"/>
  <c r="G115" i="11"/>
  <c r="C115" i="11"/>
  <c r="N107" i="11"/>
  <c r="N117" i="11" s="1"/>
  <c r="J107" i="11"/>
  <c r="J117" i="11" s="1"/>
  <c r="F107" i="11"/>
  <c r="F117" i="11" s="1"/>
  <c r="B107" i="11"/>
  <c r="B117" i="11" s="1"/>
  <c r="M101" i="11"/>
  <c r="I101" i="11"/>
  <c r="E101" i="11"/>
  <c r="A101" i="11"/>
  <c r="N100" i="11"/>
  <c r="J100" i="11"/>
  <c r="F100" i="11"/>
  <c r="B100" i="11"/>
  <c r="M98" i="11"/>
  <c r="I98" i="11"/>
  <c r="E98" i="11"/>
  <c r="A98" i="11"/>
  <c r="O92" i="11"/>
  <c r="K92" i="11"/>
  <c r="G92" i="11"/>
  <c r="C92" i="11"/>
  <c r="N84" i="11"/>
  <c r="N94" i="11" s="1"/>
  <c r="J84" i="11"/>
  <c r="J94" i="11" s="1"/>
  <c r="F84" i="11"/>
  <c r="F94" i="11" s="1"/>
  <c r="B84" i="11"/>
  <c r="B94" i="11" s="1"/>
  <c r="C82" i="11"/>
  <c r="M78" i="11"/>
  <c r="I78" i="11"/>
  <c r="E78" i="11"/>
  <c r="A78" i="11"/>
  <c r="N77" i="11"/>
  <c r="J77" i="11"/>
  <c r="F77" i="11"/>
  <c r="B77" i="11"/>
  <c r="M75" i="11"/>
  <c r="I75" i="11"/>
  <c r="E75" i="11"/>
  <c r="A75" i="11"/>
  <c r="O69" i="11"/>
  <c r="K69" i="11"/>
  <c r="G69" i="11"/>
  <c r="C69" i="11"/>
  <c r="N61" i="11"/>
  <c r="N71" i="11" s="1"/>
  <c r="J61" i="11"/>
  <c r="J71" i="11" s="1"/>
  <c r="F61" i="11"/>
  <c r="F71" i="11" s="1"/>
  <c r="B61" i="11"/>
  <c r="B71" i="11" s="1"/>
  <c r="C59" i="11"/>
  <c r="N54" i="11"/>
  <c r="J54" i="11"/>
  <c r="F54" i="11"/>
  <c r="B54" i="11"/>
  <c r="M52" i="11"/>
  <c r="I52" i="11"/>
  <c r="E52" i="11"/>
  <c r="A52" i="11"/>
  <c r="O46" i="11"/>
  <c r="K46" i="11"/>
  <c r="G46" i="11"/>
  <c r="C46" i="11"/>
  <c r="N38" i="11"/>
  <c r="J38" i="11"/>
  <c r="F38" i="11"/>
  <c r="B38" i="11"/>
  <c r="C36" i="11"/>
  <c r="N31" i="11"/>
  <c r="J31" i="11"/>
  <c r="F31" i="11"/>
  <c r="B31" i="11"/>
  <c r="M29" i="11"/>
  <c r="I29" i="11"/>
  <c r="E29" i="11"/>
  <c r="A29" i="11"/>
  <c r="O23" i="11"/>
  <c r="K23" i="11"/>
  <c r="G23" i="11"/>
  <c r="C23" i="11"/>
  <c r="N15" i="11"/>
  <c r="N25" i="11" s="1"/>
  <c r="J15" i="11"/>
  <c r="J25" i="11" s="1"/>
  <c r="F15" i="11"/>
  <c r="F25" i="11" s="1"/>
  <c r="C15" i="11"/>
  <c r="C25" i="11" s="1"/>
  <c r="G4" i="11" s="1"/>
  <c r="B15" i="11"/>
  <c r="B25" i="11" s="1"/>
  <c r="M2" i="11"/>
  <c r="I2" i="11"/>
  <c r="E2" i="11"/>
  <c r="A2" i="11"/>
  <c r="O115" i="10"/>
  <c r="K115" i="10"/>
  <c r="G115" i="10"/>
  <c r="C115" i="10"/>
  <c r="N107" i="10"/>
  <c r="N117" i="10" s="1"/>
  <c r="J107" i="10"/>
  <c r="J117" i="10" s="1"/>
  <c r="F107" i="10"/>
  <c r="F117" i="10" s="1"/>
  <c r="B107" i="10"/>
  <c r="B117" i="10" s="1"/>
  <c r="M101" i="10"/>
  <c r="I101" i="10"/>
  <c r="E101" i="10"/>
  <c r="A101" i="10"/>
  <c r="N100" i="10"/>
  <c r="J100" i="10"/>
  <c r="F100" i="10"/>
  <c r="B100" i="10"/>
  <c r="M98" i="10"/>
  <c r="I98" i="10"/>
  <c r="E98" i="10"/>
  <c r="A98" i="10"/>
  <c r="O92" i="10"/>
  <c r="K92" i="10"/>
  <c r="G92" i="10"/>
  <c r="C92" i="10"/>
  <c r="N84" i="10"/>
  <c r="N94" i="10" s="1"/>
  <c r="J84" i="10"/>
  <c r="J94" i="10" s="1"/>
  <c r="F84" i="10"/>
  <c r="F94" i="10" s="1"/>
  <c r="B84" i="10"/>
  <c r="B94" i="10" s="1"/>
  <c r="C82" i="10"/>
  <c r="M78" i="10"/>
  <c r="I78" i="10"/>
  <c r="E78" i="10"/>
  <c r="A78" i="10"/>
  <c r="N77" i="10"/>
  <c r="J77" i="10"/>
  <c r="F77" i="10"/>
  <c r="B77" i="10"/>
  <c r="M75" i="10"/>
  <c r="I75" i="10"/>
  <c r="E75" i="10"/>
  <c r="A75" i="10"/>
  <c r="O69" i="10"/>
  <c r="K69" i="10"/>
  <c r="G69" i="10"/>
  <c r="C69" i="10"/>
  <c r="N61" i="10"/>
  <c r="N71" i="10" s="1"/>
  <c r="J61" i="10"/>
  <c r="J71" i="10" s="1"/>
  <c r="F61" i="10"/>
  <c r="F71" i="10" s="1"/>
  <c r="B61" i="10"/>
  <c r="B71" i="10" s="1"/>
  <c r="C59" i="10"/>
  <c r="N54" i="10"/>
  <c r="J54" i="10"/>
  <c r="F54" i="10"/>
  <c r="B54" i="10"/>
  <c r="M52" i="10"/>
  <c r="I52" i="10"/>
  <c r="E52" i="10"/>
  <c r="A52" i="10"/>
  <c r="O46" i="10"/>
  <c r="K46" i="10"/>
  <c r="G46" i="10"/>
  <c r="C46" i="10"/>
  <c r="N38" i="10"/>
  <c r="J38" i="10"/>
  <c r="F38" i="10"/>
  <c r="B38" i="10"/>
  <c r="C36" i="10"/>
  <c r="N31" i="10"/>
  <c r="J31" i="10"/>
  <c r="F31" i="10"/>
  <c r="B31" i="10"/>
  <c r="M29" i="10"/>
  <c r="I29" i="10"/>
  <c r="E29" i="10"/>
  <c r="A29" i="10"/>
  <c r="O23" i="10"/>
  <c r="K23" i="10"/>
  <c r="G23" i="10"/>
  <c r="C23" i="10"/>
  <c r="N15" i="10"/>
  <c r="N25" i="10" s="1"/>
  <c r="J15" i="10"/>
  <c r="J25" i="10" s="1"/>
  <c r="F15" i="10"/>
  <c r="F25" i="10" s="1"/>
  <c r="B15" i="10"/>
  <c r="B25" i="10" s="1"/>
  <c r="C9" i="10"/>
  <c r="C15" i="10" s="1"/>
  <c r="M2" i="10"/>
  <c r="I2" i="10"/>
  <c r="E2" i="10"/>
  <c r="A2" i="10"/>
  <c r="B20" i="9"/>
  <c r="O18" i="9"/>
  <c r="K18" i="9"/>
  <c r="G18" i="9"/>
  <c r="C18" i="9"/>
  <c r="N10" i="9"/>
  <c r="N20" i="9" s="1"/>
  <c r="J10" i="9"/>
  <c r="J20" i="9" s="1"/>
  <c r="F10" i="9"/>
  <c r="F20" i="9" s="1"/>
  <c r="B10" i="9"/>
  <c r="M4" i="9"/>
  <c r="I4" i="9"/>
  <c r="E4" i="9"/>
  <c r="A4" i="9"/>
  <c r="N3" i="9"/>
  <c r="J3" i="9"/>
  <c r="F3" i="9"/>
  <c r="B3" i="9"/>
  <c r="M1" i="9"/>
  <c r="I1" i="9"/>
  <c r="E1" i="9"/>
  <c r="A1" i="9"/>
  <c r="B20" i="8"/>
  <c r="O18" i="8"/>
  <c r="K18" i="8"/>
  <c r="G18" i="8"/>
  <c r="C18" i="8"/>
  <c r="N10" i="8"/>
  <c r="N20" i="8" s="1"/>
  <c r="J10" i="8"/>
  <c r="J20" i="8" s="1"/>
  <c r="F10" i="8"/>
  <c r="F20" i="8" s="1"/>
  <c r="B10" i="8"/>
  <c r="M4" i="8"/>
  <c r="I4" i="8"/>
  <c r="E4" i="8"/>
  <c r="A4" i="8"/>
  <c r="N3" i="8"/>
  <c r="J3" i="8"/>
  <c r="F3" i="8"/>
  <c r="B3" i="8"/>
  <c r="M1" i="8"/>
  <c r="I1" i="8"/>
  <c r="E1" i="8"/>
  <c r="A1" i="8"/>
  <c r="C22" i="7"/>
  <c r="G20" i="7"/>
  <c r="B20" i="7"/>
  <c r="O18" i="7"/>
  <c r="K18" i="7"/>
  <c r="G18" i="7"/>
  <c r="C18" i="7"/>
  <c r="N10" i="7"/>
  <c r="N20" i="7" s="1"/>
  <c r="J10" i="7"/>
  <c r="J20" i="7" s="1"/>
  <c r="G10" i="7"/>
  <c r="F10" i="7"/>
  <c r="F20" i="7" s="1"/>
  <c r="B10" i="7"/>
  <c r="N3" i="7"/>
  <c r="J3" i="7"/>
  <c r="F3" i="7"/>
  <c r="B3" i="7"/>
  <c r="M1" i="7"/>
  <c r="I1" i="7"/>
  <c r="E1" i="7"/>
  <c r="A1" i="7"/>
  <c r="O18" i="6"/>
  <c r="K18" i="6"/>
  <c r="G18" i="6"/>
  <c r="C18" i="6"/>
  <c r="N3" i="6"/>
  <c r="J3" i="6"/>
  <c r="F3" i="6"/>
  <c r="B3" i="6"/>
  <c r="M1" i="6"/>
  <c r="I1" i="6"/>
  <c r="E1" i="6"/>
  <c r="A1" i="6"/>
  <c r="F24" i="5"/>
  <c r="O22" i="5"/>
  <c r="K22" i="5"/>
  <c r="G22" i="5"/>
  <c r="C22" i="5"/>
  <c r="O24" i="5"/>
  <c r="N14" i="5"/>
  <c r="N24" i="5" s="1"/>
  <c r="J14" i="5"/>
  <c r="J24" i="5" s="1"/>
  <c r="F14" i="5"/>
  <c r="B14" i="5"/>
  <c r="B24" i="5" s="1"/>
  <c r="C8" i="5"/>
  <c r="C14" i="5" s="1"/>
  <c r="C24" i="5" s="1"/>
  <c r="M1" i="5"/>
  <c r="I1" i="5"/>
  <c r="E1" i="5"/>
  <c r="A1" i="5"/>
  <c r="O22" i="4"/>
  <c r="K22" i="4"/>
  <c r="G22" i="4"/>
  <c r="C22" i="4"/>
  <c r="O14" i="4"/>
  <c r="O24" i="4" s="1"/>
  <c r="K14" i="4"/>
  <c r="K24" i="4" s="1"/>
  <c r="G14" i="4"/>
  <c r="G24" i="4" s="1"/>
  <c r="C14" i="4"/>
  <c r="C24" i="4" s="1"/>
  <c r="M1" i="4"/>
  <c r="I1" i="4"/>
  <c r="E1" i="4"/>
  <c r="A1" i="4"/>
  <c r="A15" i="3"/>
  <c r="D14" i="3"/>
  <c r="D13" i="3"/>
  <c r="D12" i="3"/>
  <c r="D11" i="3"/>
  <c r="D10" i="3"/>
  <c r="D9" i="3"/>
  <c r="D8" i="3"/>
  <c r="D7" i="3"/>
  <c r="D6" i="3"/>
  <c r="D5" i="3"/>
  <c r="C1" i="3"/>
  <c r="A10" i="2"/>
  <c r="D9" i="2"/>
  <c r="D8" i="2"/>
  <c r="D7" i="2"/>
  <c r="D6" i="2"/>
  <c r="D5" i="2"/>
  <c r="C1" i="2"/>
  <c r="D46" i="1"/>
  <c r="D42" i="1"/>
  <c r="D38" i="1"/>
  <c r="D32" i="1"/>
  <c r="D27" i="1"/>
  <c r="D23" i="1"/>
  <c r="D20" i="1"/>
  <c r="D18" i="1"/>
  <c r="D14" i="1"/>
  <c r="D10" i="1"/>
  <c r="D7" i="1"/>
  <c r="D4" i="1"/>
  <c r="G82" i="13" l="1"/>
  <c r="F59" i="13"/>
  <c r="E13" i="13"/>
  <c r="F13" i="13"/>
  <c r="G15" i="13"/>
  <c r="G25" i="13" s="1"/>
  <c r="C25" i="12"/>
  <c r="G4" i="12" s="1"/>
  <c r="C25" i="10"/>
  <c r="C27" i="10" s="1"/>
  <c r="C3" i="6"/>
  <c r="O26" i="5"/>
  <c r="A16" i="3"/>
  <c r="D15" i="3"/>
  <c r="A11" i="2"/>
  <c r="D10" i="2"/>
  <c r="C26" i="5"/>
  <c r="G3" i="5"/>
  <c r="G14" i="5" s="1"/>
  <c r="G24" i="5" s="1"/>
  <c r="K3" i="7"/>
  <c r="K10" i="7" s="1"/>
  <c r="K20" i="7" s="1"/>
  <c r="G22" i="7"/>
  <c r="K4" i="13" l="1"/>
  <c r="G27" i="13"/>
  <c r="G15" i="12"/>
  <c r="G25" i="12" s="1"/>
  <c r="K4" i="12" s="1"/>
  <c r="K15" i="12" s="1"/>
  <c r="K25" i="12" s="1"/>
  <c r="O4" i="12" s="1"/>
  <c r="O15" i="12" s="1"/>
  <c r="O25" i="12" s="1"/>
  <c r="C31" i="12" s="1"/>
  <c r="C38" i="12" s="1"/>
  <c r="C48" i="12" s="1"/>
  <c r="G31" i="12" s="1"/>
  <c r="G38" i="12" s="1"/>
  <c r="G48" i="12" s="1"/>
  <c r="K31" i="12" s="1"/>
  <c r="K38" i="12" s="1"/>
  <c r="K48" i="12" s="1"/>
  <c r="O31" i="12" s="1"/>
  <c r="O38" i="12" s="1"/>
  <c r="O48" i="12" s="1"/>
  <c r="C54" i="12" s="1"/>
  <c r="C61" i="12" s="1"/>
  <c r="C71" i="12" s="1"/>
  <c r="G54" i="12" s="1"/>
  <c r="G71" i="12" s="1"/>
  <c r="K54" i="12" s="1"/>
  <c r="K61" i="12" s="1"/>
  <c r="K71" i="12" s="1"/>
  <c r="O54" i="12" s="1"/>
  <c r="O61" i="12" s="1"/>
  <c r="O71" i="12" s="1"/>
  <c r="C77" i="12" s="1"/>
  <c r="C84" i="12" s="1"/>
  <c r="C94" i="12" s="1"/>
  <c r="G77" i="12" s="1"/>
  <c r="G84" i="12" s="1"/>
  <c r="G94" i="12" s="1"/>
  <c r="K77" i="12" s="1"/>
  <c r="K84" i="12" s="1"/>
  <c r="K94" i="12" s="1"/>
  <c r="O77" i="12" s="1"/>
  <c r="O84" i="12" s="1"/>
  <c r="O94" i="12" s="1"/>
  <c r="C100" i="12" s="1"/>
  <c r="C107" i="12" s="1"/>
  <c r="C117" i="12" s="1"/>
  <c r="G4" i="10"/>
  <c r="G15" i="11"/>
  <c r="G25" i="11" s="1"/>
  <c r="A12" i="2"/>
  <c r="D11" i="2"/>
  <c r="B8" i="6"/>
  <c r="C22" i="6"/>
  <c r="A8" i="6"/>
  <c r="C8" i="6"/>
  <c r="C10" i="6" s="1"/>
  <c r="C20" i="6" s="1"/>
  <c r="G3" i="6" s="1"/>
  <c r="K22" i="7"/>
  <c r="O3" i="7"/>
  <c r="O10" i="7" s="1"/>
  <c r="O20" i="7" s="1"/>
  <c r="G26" i="5"/>
  <c r="K3" i="5"/>
  <c r="K14" i="5" s="1"/>
  <c r="K24" i="5" s="1"/>
  <c r="G13" i="10"/>
  <c r="F13" i="10"/>
  <c r="E13" i="10"/>
  <c r="D16" i="3"/>
  <c r="A17" i="3"/>
  <c r="J13" i="13" l="1"/>
  <c r="K13" i="13"/>
  <c r="K15" i="13" s="1"/>
  <c r="K25" i="13" s="1"/>
  <c r="I13" i="13"/>
  <c r="C119" i="12"/>
  <c r="G100" i="12"/>
  <c r="G107" i="12" s="1"/>
  <c r="G117" i="12" s="1"/>
  <c r="G119" i="12" s="1"/>
  <c r="K100" i="12"/>
  <c r="K107" i="12" s="1"/>
  <c r="K117" i="12" s="1"/>
  <c r="K119" i="12" s="1"/>
  <c r="K13" i="11"/>
  <c r="I13" i="11"/>
  <c r="J13" i="11"/>
  <c r="G15" i="10"/>
  <c r="G25" i="10" s="1"/>
  <c r="G27" i="10" s="1"/>
  <c r="K4" i="11"/>
  <c r="K4" i="10"/>
  <c r="A18" i="3"/>
  <c r="D17" i="3"/>
  <c r="O3" i="5"/>
  <c r="K26" i="5"/>
  <c r="A13" i="2"/>
  <c r="D12" i="2"/>
  <c r="C3" i="8"/>
  <c r="C10" i="8" s="1"/>
  <c r="C20" i="8" s="1"/>
  <c r="O22" i="7"/>
  <c r="G8" i="6"/>
  <c r="G10" i="6" s="1"/>
  <c r="G20" i="6" s="1"/>
  <c r="F8" i="6"/>
  <c r="E8" i="6"/>
  <c r="O4" i="13" l="1"/>
  <c r="K27" i="13"/>
  <c r="O100" i="12"/>
  <c r="O107" i="12" s="1"/>
  <c r="O117" i="12" s="1"/>
  <c r="O119" i="12" s="1"/>
  <c r="K15" i="11"/>
  <c r="K25" i="11" s="1"/>
  <c r="G3" i="8"/>
  <c r="G10" i="8" s="1"/>
  <c r="G20" i="8" s="1"/>
  <c r="C22" i="8"/>
  <c r="G22" i="6"/>
  <c r="K3" i="6"/>
  <c r="D13" i="2"/>
  <c r="A14" i="2"/>
  <c r="D18" i="3"/>
  <c r="A19" i="3"/>
  <c r="K13" i="10"/>
  <c r="K15" i="10" s="1"/>
  <c r="K25" i="10" s="1"/>
  <c r="J13" i="10"/>
  <c r="I13" i="10"/>
  <c r="M13" i="13" l="1"/>
  <c r="N13" i="13"/>
  <c r="O13" i="13"/>
  <c r="O15" i="13"/>
  <c r="O25" i="13" s="1"/>
  <c r="N13" i="11"/>
  <c r="O13" i="11"/>
  <c r="M13" i="11"/>
  <c r="O4" i="11"/>
  <c r="O15" i="11" s="1"/>
  <c r="A15" i="2"/>
  <c r="D14" i="2"/>
  <c r="K8" i="6"/>
  <c r="K10" i="6" s="1"/>
  <c r="K20" i="6" s="1"/>
  <c r="J8" i="6"/>
  <c r="I8" i="6"/>
  <c r="A20" i="3"/>
  <c r="D19" i="3"/>
  <c r="O4" i="10"/>
  <c r="K27" i="10"/>
  <c r="G22" i="8"/>
  <c r="K3" i="8"/>
  <c r="K10" i="8" s="1"/>
  <c r="K20" i="8" s="1"/>
  <c r="C31" i="13" l="1"/>
  <c r="C38" i="13" s="1"/>
  <c r="C48" i="13" s="1"/>
  <c r="G31" i="13" s="1"/>
  <c r="G38" i="13" s="1"/>
  <c r="G48" i="13" s="1"/>
  <c r="O27" i="13"/>
  <c r="O25" i="11"/>
  <c r="O3" i="6"/>
  <c r="K22" i="6"/>
  <c r="A16" i="2"/>
  <c r="D15" i="2"/>
  <c r="D20" i="3"/>
  <c r="A21" i="3"/>
  <c r="M13" i="10"/>
  <c r="O13" i="10"/>
  <c r="O15" i="10" s="1"/>
  <c r="O25" i="10" s="1"/>
  <c r="N13" i="10"/>
  <c r="K22" i="8"/>
  <c r="O3" i="8"/>
  <c r="O10" i="8" s="1"/>
  <c r="O20" i="8" s="1"/>
  <c r="K31" i="13" l="1"/>
  <c r="G50" i="13"/>
  <c r="A36" i="13"/>
  <c r="B36" i="13"/>
  <c r="C31" i="11"/>
  <c r="C38" i="11" s="1"/>
  <c r="C48" i="11" s="1"/>
  <c r="A22" i="3"/>
  <c r="D21" i="3"/>
  <c r="M8" i="6"/>
  <c r="O8" i="6"/>
  <c r="N8" i="6"/>
  <c r="C31" i="10"/>
  <c r="C38" i="10" s="1"/>
  <c r="C48" i="10" s="1"/>
  <c r="O27" i="10"/>
  <c r="C3" i="9"/>
  <c r="C10" i="9" s="1"/>
  <c r="C20" i="9" s="1"/>
  <c r="O22" i="8"/>
  <c r="A17" i="2"/>
  <c r="D16" i="2"/>
  <c r="O10" i="6"/>
  <c r="O20" i="6" s="1"/>
  <c r="K36" i="13" l="1"/>
  <c r="J36" i="13"/>
  <c r="I36" i="13"/>
  <c r="K38" i="13"/>
  <c r="K48" i="13" s="1"/>
  <c r="G31" i="11"/>
  <c r="A36" i="11"/>
  <c r="B36" i="11"/>
  <c r="C3" i="7"/>
  <c r="O22" i="6"/>
  <c r="O24" i="6" s="1"/>
  <c r="G3" i="9"/>
  <c r="G10" i="9" s="1"/>
  <c r="G20" i="9" s="1"/>
  <c r="C22" i="9"/>
  <c r="D17" i="2"/>
  <c r="A18" i="2"/>
  <c r="B36" i="10"/>
  <c r="A36" i="10"/>
  <c r="C50" i="10"/>
  <c r="G31" i="10"/>
  <c r="D22" i="3"/>
  <c r="A23" i="3"/>
  <c r="D23" i="3" s="1"/>
  <c r="O31" i="13" l="1"/>
  <c r="K50" i="13"/>
  <c r="C2" i="3"/>
  <c r="C3" i="3" s="1"/>
  <c r="E36" i="11"/>
  <c r="G36" i="11"/>
  <c r="G38" i="11" s="1"/>
  <c r="G48" i="11" s="1"/>
  <c r="F36" i="11"/>
  <c r="A19" i="2"/>
  <c r="D18" i="2"/>
  <c r="B8" i="7"/>
  <c r="A8" i="7"/>
  <c r="C8" i="7"/>
  <c r="C10" i="7" s="1"/>
  <c r="C20" i="7" s="1"/>
  <c r="G22" i="9"/>
  <c r="K3" i="9"/>
  <c r="K10" i="9" s="1"/>
  <c r="K20" i="9" s="1"/>
  <c r="G36" i="10"/>
  <c r="G38" i="10" s="1"/>
  <c r="G48" i="10" s="1"/>
  <c r="F36" i="10"/>
  <c r="E36" i="10"/>
  <c r="M36" i="13" l="1"/>
  <c r="O36" i="13"/>
  <c r="N36" i="13"/>
  <c r="O38" i="13"/>
  <c r="O48" i="13" s="1"/>
  <c r="K31" i="11"/>
  <c r="G50" i="10"/>
  <c r="K31" i="10"/>
  <c r="G3" i="7"/>
  <c r="C23" i="7"/>
  <c r="G23" i="7" s="1"/>
  <c r="K23" i="7" s="1"/>
  <c r="O23" i="7" s="1"/>
  <c r="C23" i="8" s="1"/>
  <c r="G23" i="8" s="1"/>
  <c r="K23" i="8" s="1"/>
  <c r="O23" i="8" s="1"/>
  <c r="C23" i="9" s="1"/>
  <c r="G23" i="9" s="1"/>
  <c r="D19" i="2"/>
  <c r="A20" i="2"/>
  <c r="K22" i="9"/>
  <c r="O3" i="9"/>
  <c r="O10" i="9" s="1"/>
  <c r="O20" i="9" s="1"/>
  <c r="O22" i="9" s="1"/>
  <c r="C54" i="13" l="1"/>
  <c r="C61" i="13" s="1"/>
  <c r="C71" i="13" s="1"/>
  <c r="G54" i="13" s="1"/>
  <c r="G61" i="13" s="1"/>
  <c r="G71" i="13" s="1"/>
  <c r="O50" i="13"/>
  <c r="J36" i="11"/>
  <c r="I36" i="11"/>
  <c r="K36" i="11"/>
  <c r="K38" i="11" s="1"/>
  <c r="K48" i="11" s="1"/>
  <c r="K23" i="9"/>
  <c r="O23" i="9" s="1"/>
  <c r="A21" i="2"/>
  <c r="D20" i="2"/>
  <c r="K36" i="10"/>
  <c r="K38" i="10" s="1"/>
  <c r="K48" i="10" s="1"/>
  <c r="J36" i="10"/>
  <c r="I36" i="10"/>
  <c r="K54" i="13" l="1"/>
  <c r="G73" i="13"/>
  <c r="B59" i="13"/>
  <c r="A59" i="13"/>
  <c r="N36" i="11"/>
  <c r="M36" i="11"/>
  <c r="O36" i="11"/>
  <c r="O31" i="11"/>
  <c r="O31" i="10"/>
  <c r="K50" i="10"/>
  <c r="D21" i="2"/>
  <c r="A22" i="2"/>
  <c r="I59" i="13" l="1"/>
  <c r="K59" i="13"/>
  <c r="J59" i="13"/>
  <c r="K61" i="13"/>
  <c r="K71" i="13" s="1"/>
  <c r="O38" i="11"/>
  <c r="O48" i="11" s="1"/>
  <c r="C54" i="11" s="1"/>
  <c r="A23" i="2"/>
  <c r="D22" i="2"/>
  <c r="M36" i="10"/>
  <c r="O36" i="10"/>
  <c r="O38" i="10" s="1"/>
  <c r="O48" i="10" s="1"/>
  <c r="N36" i="10"/>
  <c r="O54" i="13" l="1"/>
  <c r="K73" i="13"/>
  <c r="C61" i="11"/>
  <c r="C71" i="11" s="1"/>
  <c r="C54" i="10"/>
  <c r="C61" i="10" s="1"/>
  <c r="C71" i="10" s="1"/>
  <c r="O50" i="10"/>
  <c r="A24" i="2"/>
  <c r="D23" i="2"/>
  <c r="N59" i="13" l="1"/>
  <c r="O59" i="13"/>
  <c r="M59" i="13"/>
  <c r="O61" i="13"/>
  <c r="O71" i="13" s="1"/>
  <c r="G54" i="11"/>
  <c r="B59" i="11"/>
  <c r="A59" i="11"/>
  <c r="A25" i="2"/>
  <c r="D24" i="2"/>
  <c r="B59" i="10"/>
  <c r="A59" i="10"/>
  <c r="C73" i="10"/>
  <c r="G54" i="10"/>
  <c r="C77" i="13" l="1"/>
  <c r="C84" i="13" s="1"/>
  <c r="C94" i="13" s="1"/>
  <c r="G77" i="13" s="1"/>
  <c r="G84" i="13" s="1"/>
  <c r="G94" i="13" s="1"/>
  <c r="O73" i="13"/>
  <c r="E59" i="11"/>
  <c r="G59" i="11"/>
  <c r="G61" i="11" s="1"/>
  <c r="G71" i="11" s="1"/>
  <c r="F59" i="11"/>
  <c r="G59" i="10"/>
  <c r="G61" i="10" s="1"/>
  <c r="G71" i="10" s="1"/>
  <c r="F59" i="10"/>
  <c r="E59" i="10"/>
  <c r="A26" i="2"/>
  <c r="D25" i="2"/>
  <c r="K77" i="13" l="1"/>
  <c r="G96" i="13"/>
  <c r="B82" i="13"/>
  <c r="A82" i="13"/>
  <c r="K54" i="11"/>
  <c r="G73" i="10"/>
  <c r="K54" i="10"/>
  <c r="A27" i="2"/>
  <c r="D26" i="2"/>
  <c r="J82" i="13" l="1"/>
  <c r="K82" i="13"/>
  <c r="I82" i="13"/>
  <c r="K84" i="13"/>
  <c r="K94" i="13" s="1"/>
  <c r="J59" i="11"/>
  <c r="I59" i="11"/>
  <c r="K59" i="11"/>
  <c r="K61" i="11" s="1"/>
  <c r="K71" i="11" s="1"/>
  <c r="A28" i="2"/>
  <c r="D27" i="2"/>
  <c r="K59" i="10"/>
  <c r="K61" i="10" s="1"/>
  <c r="K71" i="10" s="1"/>
  <c r="J59" i="10"/>
  <c r="I59" i="10"/>
  <c r="O77" i="13" l="1"/>
  <c r="O54" i="11"/>
  <c r="K73" i="10"/>
  <c r="O54" i="10"/>
  <c r="A29" i="2"/>
  <c r="D28" i="2"/>
  <c r="O82" i="13" l="1"/>
  <c r="M82" i="13"/>
  <c r="N82" i="13"/>
  <c r="O84" i="13"/>
  <c r="O94" i="13" s="1"/>
  <c r="O96" i="13" s="1"/>
  <c r="O59" i="11"/>
  <c r="O61" i="11" s="1"/>
  <c r="O71" i="11" s="1"/>
  <c r="N59" i="11"/>
  <c r="M59" i="11"/>
  <c r="D29" i="2"/>
  <c r="A30" i="2"/>
  <c r="O61" i="10"/>
  <c r="O71" i="10" s="1"/>
  <c r="M59" i="10"/>
  <c r="O59" i="10"/>
  <c r="N59" i="10"/>
  <c r="C100" i="13" l="1"/>
  <c r="C107" i="13" s="1"/>
  <c r="C117" i="13" s="1"/>
  <c r="C77" i="11"/>
  <c r="C84" i="11" s="1"/>
  <c r="C94" i="11" s="1"/>
  <c r="A31" i="2"/>
  <c r="D30" i="2"/>
  <c r="C77" i="10"/>
  <c r="C84" i="10" s="1"/>
  <c r="C94" i="10" s="1"/>
  <c r="O73" i="10"/>
  <c r="C119" i="13" l="1"/>
  <c r="G100" i="13"/>
  <c r="G107" i="13" s="1"/>
  <c r="G117" i="13" s="1"/>
  <c r="G77" i="11"/>
  <c r="A82" i="11"/>
  <c r="B82" i="11"/>
  <c r="B82" i="10"/>
  <c r="A82" i="10"/>
  <c r="C96" i="10"/>
  <c r="G77" i="10"/>
  <c r="A32" i="2"/>
  <c r="D31" i="2"/>
  <c r="K100" i="13" l="1"/>
  <c r="K107" i="13" s="1"/>
  <c r="K117" i="13" s="1"/>
  <c r="G119" i="13"/>
  <c r="E82" i="11"/>
  <c r="G82" i="11"/>
  <c r="G84" i="11" s="1"/>
  <c r="G94" i="11" s="1"/>
  <c r="F82" i="11"/>
  <c r="G82" i="10"/>
  <c r="G84" i="10" s="1"/>
  <c r="G94" i="10" s="1"/>
  <c r="F82" i="10"/>
  <c r="E82" i="10"/>
  <c r="A33" i="2"/>
  <c r="D32" i="2"/>
  <c r="O100" i="13" l="1"/>
  <c r="O107" i="13" s="1"/>
  <c r="O117" i="13" s="1"/>
  <c r="O119" i="13" s="1"/>
  <c r="K119" i="13"/>
  <c r="K77" i="11"/>
  <c r="G96" i="10"/>
  <c r="K77" i="10"/>
  <c r="A34" i="2"/>
  <c r="D33" i="2"/>
  <c r="J82" i="11" l="1"/>
  <c r="I82" i="11"/>
  <c r="K84" i="11"/>
  <c r="K94" i="11" s="1"/>
  <c r="A35" i="2"/>
  <c r="D34" i="2"/>
  <c r="K82" i="10"/>
  <c r="K84" i="10" s="1"/>
  <c r="K94" i="10" s="1"/>
  <c r="J82" i="10"/>
  <c r="I82" i="10"/>
  <c r="O77" i="11" l="1"/>
  <c r="K96" i="10"/>
  <c r="O77" i="10"/>
  <c r="D35" i="2"/>
  <c r="A36" i="2"/>
  <c r="O82" i="11" l="1"/>
  <c r="N82" i="11"/>
  <c r="M82" i="11"/>
  <c r="O84" i="11"/>
  <c r="O94" i="11" s="1"/>
  <c r="A37" i="2"/>
  <c r="D36" i="2"/>
  <c r="O84" i="10"/>
  <c r="O94" i="10" s="1"/>
  <c r="M82" i="10"/>
  <c r="O82" i="10"/>
  <c r="N82" i="10"/>
  <c r="C100" i="11" l="1"/>
  <c r="C107" i="11" s="1"/>
  <c r="C117" i="11" s="1"/>
  <c r="C100" i="10"/>
  <c r="C107" i="10" s="1"/>
  <c r="C117" i="10" s="1"/>
  <c r="O96" i="10"/>
  <c r="D37" i="2"/>
  <c r="A38" i="2"/>
  <c r="G100" i="11" l="1"/>
  <c r="G107" i="11" s="1"/>
  <c r="G117" i="11" s="1"/>
  <c r="A39" i="2"/>
  <c r="D38" i="2"/>
  <c r="C119" i="10"/>
  <c r="G100" i="10"/>
  <c r="G107" i="10" s="1"/>
  <c r="G117" i="10" s="1"/>
  <c r="K100" i="11" l="1"/>
  <c r="K107" i="11" s="1"/>
  <c r="K117" i="11" s="1"/>
  <c r="G119" i="10"/>
  <c r="K100" i="10"/>
  <c r="K107" i="10" s="1"/>
  <c r="K117" i="10" s="1"/>
  <c r="A40" i="2"/>
  <c r="D39" i="2"/>
  <c r="O100" i="11" l="1"/>
  <c r="O107" i="11" s="1"/>
  <c r="O117" i="11" s="1"/>
  <c r="C123" i="11" s="1"/>
  <c r="C130" i="11" s="1"/>
  <c r="C140" i="11" s="1"/>
  <c r="G123" i="11" s="1"/>
  <c r="G130" i="11" s="1"/>
  <c r="G140" i="11" s="1"/>
  <c r="K123" i="11" s="1"/>
  <c r="K130" i="11" s="1"/>
  <c r="K140" i="11" s="1"/>
  <c r="O123" i="11" s="1"/>
  <c r="O130" i="11" s="1"/>
  <c r="O140" i="11" s="1"/>
  <c r="C146" i="11" s="1"/>
  <c r="C153" i="11" s="1"/>
  <c r="C163" i="11" s="1"/>
  <c r="G146" i="11" s="1"/>
  <c r="G153" i="11" s="1"/>
  <c r="G163" i="11" s="1"/>
  <c r="K146" i="11" s="1"/>
  <c r="K153" i="11" s="1"/>
  <c r="K163" i="11" s="1"/>
  <c r="O146" i="11" s="1"/>
  <c r="O153" i="11" s="1"/>
  <c r="O163" i="11" s="1"/>
  <c r="A41" i="2"/>
  <c r="D40" i="2"/>
  <c r="K119" i="10"/>
  <c r="O100" i="10"/>
  <c r="O107" i="10" s="1"/>
  <c r="O117" i="10" s="1"/>
  <c r="O119" i="10" s="1"/>
  <c r="A42" i="2" l="1"/>
  <c r="D41" i="2"/>
  <c r="A43" i="2" l="1"/>
  <c r="D42" i="2"/>
  <c r="A44" i="2" l="1"/>
  <c r="D44" i="2" s="1"/>
  <c r="D43" i="2"/>
  <c r="C2" i="2" l="1"/>
  <c r="C3" i="2" s="1"/>
</calcChain>
</file>

<file path=xl/sharedStrings.xml><?xml version="1.0" encoding="utf-8"?>
<sst xmlns="http://schemas.openxmlformats.org/spreadsheetml/2006/main" count="1726" uniqueCount="164">
  <si>
    <t>Data</t>
  </si>
  <si>
    <t>Descrição</t>
  </si>
  <si>
    <t>Valor</t>
  </si>
  <si>
    <t>Total</t>
  </si>
  <si>
    <t>PIX TRANSF  Cezar G01/08</t>
  </si>
  <si>
    <t>PIX TRANSF  Cezar G22/08</t>
  </si>
  <si>
    <t>PIX TRANSF  CEZAR G22/08</t>
  </si>
  <si>
    <t>PIX TRANSF  Cezar G01/09</t>
  </si>
  <si>
    <t>PIX TRANSF  CEZAR G30/09</t>
  </si>
  <si>
    <t>PIX TRANSF  CEZAR G01/10</t>
  </si>
  <si>
    <t>PIX TRANSF  Cezar G31/10</t>
  </si>
  <si>
    <t>PIX TRANSF  Cezar G01/11</t>
  </si>
  <si>
    <t>PIX TRANSF  Cezar G02/11</t>
  </si>
  <si>
    <t>PIX TRANSF  Cezar G05/11</t>
  </si>
  <si>
    <t>PIX TRANSF  Cezar G01/12</t>
  </si>
  <si>
    <t>PIX TRANSF  CEZAR G01/12</t>
  </si>
  <si>
    <t>PIX TRANSF  CEZAR G02/12</t>
  </si>
  <si>
    <t>PIX TRANSF  Cezar G31/01</t>
  </si>
  <si>
    <t>PIX TRANSF  Cezar G02/02</t>
  </si>
  <si>
    <t>PIX TRANSF  Cezar G05/02</t>
  </si>
  <si>
    <t>PIX TRANSF  Cezar G01/03</t>
  </si>
  <si>
    <t>PIX TRANSF  Cezar G02/03</t>
  </si>
  <si>
    <t>PIX TRANSF  Cezar G08/03</t>
  </si>
  <si>
    <t>PIX TRANSF  Cezar G04/04</t>
  </si>
  <si>
    <t>PIX TRANSF  Cezar G07/04</t>
  </si>
  <si>
    <t>PIX TRANSF  CEZAR G10/04</t>
  </si>
  <si>
    <t>PIX TRANSF  CEZAR G11/04</t>
  </si>
  <si>
    <t>PIX TRANSF  Cezar G03/05</t>
  </si>
  <si>
    <t>PIX TRANSF  CEZAR G08/05</t>
  </si>
  <si>
    <t>PIX TRANSF  Cezar G09/05</t>
  </si>
  <si>
    <t>PIX TRANSF  CEZAR G09/05</t>
  </si>
  <si>
    <t>Transf. Pix</t>
  </si>
  <si>
    <t>Transf. Ted</t>
  </si>
  <si>
    <t>Total Devedor</t>
  </si>
  <si>
    <t>Total Pago</t>
  </si>
  <si>
    <t>Total Pendente</t>
  </si>
  <si>
    <t>pago</t>
  </si>
  <si>
    <t>CREDIARIO AUTOM 01/40</t>
  </si>
  <si>
    <t>CREDIARIO AUTOM 02/40</t>
  </si>
  <si>
    <t>CREDIARIO AUTOM 03/40</t>
  </si>
  <si>
    <t>CREDIARIO AUTOM 04/40</t>
  </si>
  <si>
    <t>CREDIARIO AUTOM 05/40</t>
  </si>
  <si>
    <t>CREDIARIO AUTOM 06/40</t>
  </si>
  <si>
    <t>CREDIARIO AUTOM 07/40</t>
  </si>
  <si>
    <t>CREDIARIO AUTOM 08/40</t>
  </si>
  <si>
    <t>CREDIARIO AUTOM 09/40</t>
  </si>
  <si>
    <t>CREDIARIO AUTOM 10/40</t>
  </si>
  <si>
    <t>CREDIARIO AUTOM 11/40</t>
  </si>
  <si>
    <t>CREDIARIO AUTOM 12/40</t>
  </si>
  <si>
    <t>CREDIARIO AUTOM 13/40</t>
  </si>
  <si>
    <t>CREDIARIO AUTOM 14/40</t>
  </si>
  <si>
    <t>CREDIARIO AUTOM 15/40</t>
  </si>
  <si>
    <t>CREDIARIO AUTOM 16/40</t>
  </si>
  <si>
    <t>CREDIARIO AUTOM 17/40</t>
  </si>
  <si>
    <t>CREDIARIO AUTOM 18/40</t>
  </si>
  <si>
    <t>CREDIARIO AUTOM 19/40</t>
  </si>
  <si>
    <t>CREDIARIO AUTOM 20/40</t>
  </si>
  <si>
    <t>CREDIARIO AUTOM 21/40</t>
  </si>
  <si>
    <t>CREDIARIO AUTOM 22/40</t>
  </si>
  <si>
    <t>CREDIARIO AUTOM 23/40</t>
  </si>
  <si>
    <t>CREDIARIO AUTOM 24/40</t>
  </si>
  <si>
    <t>CREDIARIO AUTOM 25/40</t>
  </si>
  <si>
    <t>CREDIARIO AUTOM 26/40</t>
  </si>
  <si>
    <t>CREDIARIO AUTOM 27/40</t>
  </si>
  <si>
    <t>CREDIARIO AUTOM 28/40</t>
  </si>
  <si>
    <t>CREDIARIO AUTOM 29/40</t>
  </si>
  <si>
    <t>CREDIARIO AUTOM 30/40</t>
  </si>
  <si>
    <t>CREDIARIO AUTOM 31/40</t>
  </si>
  <si>
    <t>CREDIARIO AUTOM 32/40</t>
  </si>
  <si>
    <t>CREDIARIO AUTOM 33/40</t>
  </si>
  <si>
    <t>CREDIARIO AUTOM 34/40</t>
  </si>
  <si>
    <t>CREDIARIO AUTOM 35/40</t>
  </si>
  <si>
    <t>CREDIARIO AUTOM 36/40</t>
  </si>
  <si>
    <t>CREDIARIO AUTOM 37/40</t>
  </si>
  <si>
    <t>CREDIARIO AUTOM 38/40</t>
  </si>
  <si>
    <t>CREDIARIO AUTOM 39/40</t>
  </si>
  <si>
    <t>CREDIARIO AUTOM 40/40</t>
  </si>
  <si>
    <t>Pago</t>
  </si>
  <si>
    <t>CREDIARIO AUTOM   01/19</t>
  </si>
  <si>
    <t>CREDIARIO AUTOM   02/19</t>
  </si>
  <si>
    <t>CREDIARIO AUTOM   03/19</t>
  </si>
  <si>
    <t>CREDIARIO AUTOM   04/19</t>
  </si>
  <si>
    <t>CREDIARIO AUTOM   05/19</t>
  </si>
  <si>
    <t>CREDIARIO AUTOM   06/19</t>
  </si>
  <si>
    <t>CREDIARIO AUTOM   07/19</t>
  </si>
  <si>
    <t>CREDIARIO AUTOM   08/19</t>
  </si>
  <si>
    <t>CREDIARIO AUTOM   09/19</t>
  </si>
  <si>
    <t>CREDIARIO AUTOM   10/19</t>
  </si>
  <si>
    <t>CREDIARIO AUTOM   11/19</t>
  </si>
  <si>
    <t>CREDIARIO AUTOM   12/19</t>
  </si>
  <si>
    <t>CREDIARIO AUTOM   13/19</t>
  </si>
  <si>
    <t>CREDIARIO AUTOM   14/19</t>
  </si>
  <si>
    <t>CREDIARIO AUTOM   15/19</t>
  </si>
  <si>
    <t>CREDIARIO AUTOM   16/19</t>
  </si>
  <si>
    <t>CREDIARIO AUTOM   17/19</t>
  </si>
  <si>
    <t>CREDIARIO AUTOM   18/19</t>
  </si>
  <si>
    <t>CREDIARIO AUTOM   19/19</t>
  </si>
  <si>
    <t>DATA</t>
  </si>
  <si>
    <t>DESCRIÇÃO</t>
  </si>
  <si>
    <t xml:space="preserve">VALOR </t>
  </si>
  <si>
    <t>Total Mês Janeiro</t>
  </si>
  <si>
    <t>Total Mês Fevereiro</t>
  </si>
  <si>
    <t>Total Mês Março</t>
  </si>
  <si>
    <t>Total Mês Abril</t>
  </si>
  <si>
    <t>Total Pagamentos</t>
  </si>
  <si>
    <t>Saldo Mês Janeiro</t>
  </si>
  <si>
    <t>Saldo Mês Fevereiro</t>
  </si>
  <si>
    <t>Saldo Mês Março</t>
  </si>
  <si>
    <t>Saldo Mês Abril</t>
  </si>
  <si>
    <t>Total mês</t>
  </si>
  <si>
    <t>Pagamentos</t>
  </si>
  <si>
    <t>Saldo mês</t>
  </si>
  <si>
    <t>Juros 8% ao Mês</t>
  </si>
  <si>
    <t>Saldo Anterior</t>
  </si>
  <si>
    <t>Crediario autom 10/19</t>
  </si>
  <si>
    <t>Crediario autom 05/40</t>
  </si>
  <si>
    <t>A P ALMENARA-CT A 01/03</t>
  </si>
  <si>
    <t>RECARGAPAY*CEZARGU02/03</t>
  </si>
  <si>
    <t>RECARGAPAY*CEZARGU03/03</t>
  </si>
  <si>
    <t>SUPER ADEGA 04/05</t>
  </si>
  <si>
    <t>JWF ENTRETENIMENTO</t>
  </si>
  <si>
    <t>A P ALMENARA-CT A</t>
  </si>
  <si>
    <t>SUPER ADEGA 02/05</t>
  </si>
  <si>
    <t>SUPER ADEGA 03/05</t>
  </si>
  <si>
    <t>RECARGAPAY*CEZARGU01/03</t>
  </si>
  <si>
    <t>A P Almenara-ct A 02/03</t>
  </si>
  <si>
    <t>A P Almenara-ct A 03/03</t>
  </si>
  <si>
    <t>SUPER ADEGA 01/05</t>
  </si>
  <si>
    <t>RECARGA*CEZARGUIMAR</t>
  </si>
  <si>
    <t>Desconto Emprestimo</t>
  </si>
  <si>
    <t>Desconto Emprestimo Cezar</t>
  </si>
  <si>
    <t xml:space="preserve">Total </t>
  </si>
  <si>
    <t>SUPER ADEGA 05/05</t>
  </si>
  <si>
    <t>Total Mês Setembro</t>
  </si>
  <si>
    <t>Total Mês Outubro</t>
  </si>
  <si>
    <t>Total Mês Novembro</t>
  </si>
  <si>
    <t>Total Mês Dezembro</t>
  </si>
  <si>
    <t>Pag. Emprestimo</t>
  </si>
  <si>
    <t>Transf. PIX</t>
  </si>
  <si>
    <t>Saldo Mês Setembro</t>
  </si>
  <si>
    <t>Saldo Mês Outubro</t>
  </si>
  <si>
    <t>Saldo Mês Novembro</t>
  </si>
  <si>
    <t>Saldo Mês Dezembro</t>
  </si>
  <si>
    <t>CREDIARIO AUTOM 19/19</t>
  </si>
  <si>
    <t>PIX</t>
  </si>
  <si>
    <t>Pix</t>
  </si>
  <si>
    <t>Crediário autom. 10/19</t>
  </si>
  <si>
    <t>Crediário autom. 05/40</t>
  </si>
  <si>
    <t>Desconto Empréstimo</t>
  </si>
  <si>
    <t>Desconto Empréstimo Cezar</t>
  </si>
  <si>
    <t>Pix Isabella</t>
  </si>
  <si>
    <t>Pix Ricardo</t>
  </si>
  <si>
    <t xml:space="preserve">                         </t>
  </si>
  <si>
    <t>ALUGUEL CARRO</t>
  </si>
  <si>
    <t>SALDO NOVEMBRO</t>
  </si>
  <si>
    <t>SALDO DEZEMBRO</t>
  </si>
  <si>
    <t>29/09/2025</t>
  </si>
  <si>
    <t>29/10/2025</t>
  </si>
  <si>
    <t>29/11/2025</t>
  </si>
  <si>
    <t>29/12/2025</t>
  </si>
  <si>
    <t>29/01/2026</t>
  </si>
  <si>
    <t>28/02/2026</t>
  </si>
  <si>
    <t>29/03/2026</t>
  </si>
  <si>
    <t>29/04/2026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</si>
</sst>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dd/mm/yy;@"/>
    <numFmt numFmtId="166" formatCode="mmmm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Rockwell Condensed"/>
      <family val="1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Rockwell Condensed"/>
      <family val="1"/>
    </font>
    <font>
      <b/>
      <sz val="16"/>
      <color theme="0"/>
      <name val="Rockwell Condensed"/>
      <family val="1"/>
    </font>
    <font>
      <b/>
      <sz val="11"/>
      <name val="Calibri"/>
      <family val="2"/>
      <scheme val="minor"/>
    </font>
    <font>
      <b/>
      <sz val="11"/>
      <name val="Calibri"/>
    </font>
    <font>
      <b/>
      <sz val="11"/>
      <color rgb="FFFF0000"/>
      <name val="Calibri"/>
    </font>
    <font>
      <b/>
      <sz val="11"/>
      <color rgb="FFFFFF00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0F0F0"/>
        <bgColor rgb="FFF0F0F0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/>
  </cellStyleXfs>
  <cellXfs count="122">
    <xf numFmtId="0" fontId="0" fillId="0" borderId="0" xfId="0"/>
    <xf numFmtId="14" fontId="0" fillId="0" borderId="0" xfId="0" applyNumberForma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40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40" fontId="2" fillId="0" borderId="0" xfId="1" applyNumberFormat="1" applyFont="1" applyAlignment="1">
      <alignment horizontal="center"/>
    </xf>
    <xf numFmtId="165" fontId="0" fillId="5" borderId="0" xfId="0" applyNumberFormat="1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8" fontId="0" fillId="3" borderId="0" xfId="0" applyNumberFormat="1" applyFill="1"/>
    <xf numFmtId="8" fontId="0" fillId="5" borderId="0" xfId="0" applyNumberFormat="1" applyFill="1"/>
    <xf numFmtId="8" fontId="3" fillId="4" borderId="0" xfId="0" applyNumberFormat="1" applyFont="1" applyFill="1"/>
    <xf numFmtId="8" fontId="3" fillId="0" borderId="0" xfId="0" applyNumberFormat="1" applyFont="1"/>
    <xf numFmtId="8" fontId="3" fillId="3" borderId="0" xfId="0" applyNumberFormat="1" applyFont="1" applyFill="1"/>
    <xf numFmtId="8" fontId="3" fillId="2" borderId="0" xfId="0" applyNumberFormat="1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166" fontId="0" fillId="4" borderId="0" xfId="0" applyNumberFormat="1" applyFill="1" applyAlignment="1">
      <alignment horizontal="left"/>
    </xf>
    <xf numFmtId="166" fontId="0" fillId="2" borderId="0" xfId="0" applyNumberFormat="1" applyFill="1" applyAlignment="1">
      <alignment horizontal="left"/>
    </xf>
    <xf numFmtId="0" fontId="4" fillId="0" borderId="0" xfId="0" applyFont="1"/>
    <xf numFmtId="8" fontId="2" fillId="5" borderId="0" xfId="0" applyNumberFormat="1" applyFont="1" applyFill="1"/>
    <xf numFmtId="14" fontId="0" fillId="0" borderId="0" xfId="0" applyNumberFormat="1"/>
    <xf numFmtId="0" fontId="9" fillId="6" borderId="0" xfId="0" applyFont="1" applyFill="1"/>
    <xf numFmtId="0" fontId="0" fillId="6" borderId="0" xfId="0" applyFill="1"/>
    <xf numFmtId="165" fontId="7" fillId="6" borderId="0" xfId="0" applyNumberFormat="1" applyFont="1" applyFill="1" applyAlignment="1">
      <alignment horizontal="center"/>
    </xf>
    <xf numFmtId="0" fontId="7" fillId="6" borderId="0" xfId="0" applyFont="1" applyFill="1"/>
    <xf numFmtId="8" fontId="2" fillId="6" borderId="0" xfId="0" applyNumberFormat="1" applyFont="1" applyFill="1"/>
    <xf numFmtId="165" fontId="0" fillId="6" borderId="0" xfId="0" applyNumberFormat="1" applyFill="1" applyAlignment="1">
      <alignment horizontal="center"/>
    </xf>
    <xf numFmtId="8" fontId="3" fillId="6" borderId="0" xfId="0" applyNumberFormat="1" applyFont="1" applyFill="1"/>
    <xf numFmtId="0" fontId="0" fillId="6" borderId="0" xfId="0" applyFill="1" applyAlignment="1">
      <alignment horizontal="center"/>
    </xf>
    <xf numFmtId="8" fontId="6" fillId="6" borderId="0" xfId="0" applyNumberFormat="1" applyFont="1" applyFill="1"/>
    <xf numFmtId="8" fontId="8" fillId="6" borderId="0" xfId="0" applyNumberFormat="1" applyFont="1" applyFill="1"/>
    <xf numFmtId="40" fontId="2" fillId="6" borderId="0" xfId="0" applyNumberFormat="1" applyFont="1" applyFill="1"/>
    <xf numFmtId="0" fontId="2" fillId="6" borderId="0" xfId="0" applyFont="1" applyFill="1"/>
    <xf numFmtId="40" fontId="0" fillId="6" borderId="0" xfId="0" applyNumberFormat="1" applyFill="1"/>
    <xf numFmtId="165" fontId="6" fillId="6" borderId="0" xfId="0" applyNumberFormat="1" applyFont="1" applyFill="1" applyAlignment="1">
      <alignment horizontal="center"/>
    </xf>
    <xf numFmtId="0" fontId="6" fillId="6" borderId="0" xfId="0" applyFont="1" applyFill="1" applyAlignment="1">
      <alignment horizontal="center"/>
    </xf>
    <xf numFmtId="40" fontId="6" fillId="6" borderId="0" xfId="1" applyNumberFormat="1" applyFont="1" applyFill="1" applyAlignment="1">
      <alignment horizontal="center"/>
    </xf>
    <xf numFmtId="0" fontId="0" fillId="7" borderId="0" xfId="0" applyFill="1" applyAlignment="1">
      <alignment horizontal="right"/>
    </xf>
    <xf numFmtId="166" fontId="0" fillId="7" borderId="0" xfId="0" applyNumberFormat="1" applyFill="1" applyAlignment="1">
      <alignment horizontal="left"/>
    </xf>
    <xf numFmtId="8" fontId="3" fillId="7" borderId="0" xfId="0" applyNumberFormat="1" applyFont="1" applyFill="1"/>
    <xf numFmtId="165" fontId="7" fillId="8" borderId="0" xfId="0" applyNumberFormat="1" applyFont="1" applyFill="1" applyAlignment="1">
      <alignment horizontal="center"/>
    </xf>
    <xf numFmtId="0" fontId="7" fillId="8" borderId="0" xfId="0" applyFont="1" applyFill="1"/>
    <xf numFmtId="8" fontId="6" fillId="8" borderId="0" xfId="0" applyNumberFormat="1" applyFont="1" applyFill="1"/>
    <xf numFmtId="0" fontId="7" fillId="8" borderId="0" xfId="0" applyFont="1" applyFill="1" applyAlignment="1">
      <alignment horizontal="right"/>
    </xf>
    <xf numFmtId="8" fontId="8" fillId="8" borderId="0" xfId="0" applyNumberFormat="1" applyFont="1" applyFill="1"/>
    <xf numFmtId="8" fontId="6" fillId="5" borderId="0" xfId="0" applyNumberFormat="1" applyFont="1" applyFill="1"/>
    <xf numFmtId="0" fontId="7" fillId="6" borderId="0" xfId="0" applyFont="1" applyFill="1" applyAlignment="1">
      <alignment horizontal="center"/>
    </xf>
    <xf numFmtId="40" fontId="6" fillId="6" borderId="0" xfId="0" applyNumberFormat="1" applyFont="1" applyFill="1"/>
    <xf numFmtId="0" fontId="6" fillId="6" borderId="0" xfId="0" applyFont="1" applyFill="1"/>
    <xf numFmtId="40" fontId="7" fillId="6" borderId="0" xfId="0" applyNumberFormat="1" applyFont="1" applyFill="1"/>
    <xf numFmtId="0" fontId="6" fillId="9" borderId="0" xfId="0" applyFont="1" applyFill="1"/>
    <xf numFmtId="8" fontId="6" fillId="9" borderId="0" xfId="0" applyNumberFormat="1" applyFont="1" applyFill="1"/>
    <xf numFmtId="8" fontId="3" fillId="10" borderId="0" xfId="0" applyNumberFormat="1" applyFont="1" applyFill="1"/>
    <xf numFmtId="165" fontId="2" fillId="5" borderId="0" xfId="0" applyNumberFormat="1" applyFont="1" applyFill="1" applyAlignment="1">
      <alignment horizontal="center"/>
    </xf>
    <xf numFmtId="0" fontId="2" fillId="5" borderId="0" xfId="0" applyFont="1" applyFill="1"/>
    <xf numFmtId="0" fontId="2" fillId="7" borderId="0" xfId="0" applyFont="1" applyFill="1" applyAlignment="1">
      <alignment horizontal="right"/>
    </xf>
    <xf numFmtId="166" fontId="2" fillId="7" borderId="0" xfId="0" applyNumberFormat="1" applyFont="1" applyFill="1" applyAlignment="1">
      <alignment horizontal="left"/>
    </xf>
    <xf numFmtId="0" fontId="2" fillId="10" borderId="0" xfId="0" applyFont="1" applyFill="1" applyAlignment="1">
      <alignment horizontal="right"/>
    </xf>
    <xf numFmtId="166" fontId="2" fillId="10" borderId="0" xfId="0" applyNumberFormat="1" applyFont="1" applyFill="1" applyAlignment="1">
      <alignment horizontal="left"/>
    </xf>
    <xf numFmtId="165" fontId="6" fillId="8" borderId="0" xfId="0" applyNumberFormat="1" applyFont="1" applyFill="1" applyAlignment="1">
      <alignment horizontal="center"/>
    </xf>
    <xf numFmtId="0" fontId="6" fillId="8" borderId="0" xfId="0" applyFont="1" applyFill="1"/>
    <xf numFmtId="0" fontId="6" fillId="8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66" fontId="2" fillId="2" borderId="0" xfId="0" applyNumberFormat="1" applyFont="1" applyFill="1" applyAlignment="1">
      <alignment horizontal="left"/>
    </xf>
    <xf numFmtId="165" fontId="6" fillId="9" borderId="0" xfId="0" applyNumberFormat="1" applyFont="1" applyFill="1" applyAlignment="1">
      <alignment horizontal="center"/>
    </xf>
    <xf numFmtId="165" fontId="2" fillId="3" borderId="0" xfId="0" applyNumberFormat="1" applyFont="1" applyFill="1" applyAlignment="1">
      <alignment horizontal="center"/>
    </xf>
    <xf numFmtId="0" fontId="2" fillId="3" borderId="0" xfId="0" applyFont="1" applyFill="1"/>
    <xf numFmtId="8" fontId="2" fillId="3" borderId="0" xfId="0" applyNumberFormat="1" applyFont="1" applyFill="1"/>
    <xf numFmtId="0" fontId="12" fillId="6" borderId="0" xfId="0" applyFont="1" applyFill="1"/>
    <xf numFmtId="165" fontId="2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1" borderId="0" xfId="0" applyFont="1" applyFill="1"/>
    <xf numFmtId="14" fontId="0" fillId="12" borderId="0" xfId="0" applyNumberFormat="1" applyFill="1" applyAlignment="1">
      <alignment horizontal="center"/>
    </xf>
    <xf numFmtId="0" fontId="0" fillId="12" borderId="0" xfId="0" applyFill="1"/>
    <xf numFmtId="0" fontId="0" fillId="12" borderId="0" xfId="0" applyFill="1" applyAlignment="1">
      <alignment horizontal="center"/>
    </xf>
    <xf numFmtId="0" fontId="14" fillId="12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165" fontId="6" fillId="13" borderId="0" xfId="0" applyNumberFormat="1" applyFont="1" applyFill="1" applyAlignment="1">
      <alignment horizontal="center"/>
    </xf>
    <xf numFmtId="0" fontId="6" fillId="13" borderId="0" xfId="0" applyFont="1" applyFill="1"/>
    <xf numFmtId="8" fontId="6" fillId="13" borderId="0" xfId="0" applyNumberFormat="1" applyFont="1" applyFill="1"/>
    <xf numFmtId="0" fontId="6" fillId="9" borderId="0" xfId="0" applyFont="1" applyFill="1" applyAlignment="1">
      <alignment horizontal="center"/>
    </xf>
    <xf numFmtId="40" fontId="6" fillId="9" borderId="0" xfId="1" applyNumberFormat="1" applyFon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40" fontId="0" fillId="9" borderId="0" xfId="0" applyNumberFormat="1" applyFill="1"/>
    <xf numFmtId="165" fontId="0" fillId="9" borderId="0" xfId="0" applyNumberFormat="1" applyFill="1" applyAlignment="1">
      <alignment horizontal="center"/>
    </xf>
    <xf numFmtId="8" fontId="0" fillId="9" borderId="0" xfId="0" applyNumberFormat="1" applyFill="1"/>
    <xf numFmtId="8" fontId="3" fillId="9" borderId="0" xfId="0" applyNumberFormat="1" applyFont="1" applyFill="1"/>
    <xf numFmtId="165" fontId="6" fillId="14" borderId="0" xfId="0" applyNumberFormat="1" applyFont="1" applyFill="1" applyAlignment="1">
      <alignment horizontal="center"/>
    </xf>
    <xf numFmtId="0" fontId="6" fillId="14" borderId="0" xfId="0" applyFont="1" applyFill="1"/>
    <xf numFmtId="8" fontId="6" fillId="14" borderId="0" xfId="0" applyNumberFormat="1" applyFont="1" applyFill="1"/>
    <xf numFmtId="8" fontId="15" fillId="5" borderId="0" xfId="0" applyNumberFormat="1" applyFont="1" applyFill="1"/>
    <xf numFmtId="8" fontId="2" fillId="0" borderId="0" xfId="0" applyNumberFormat="1" applyFont="1"/>
    <xf numFmtId="0" fontId="7" fillId="9" borderId="0" xfId="0" applyFont="1" applyFill="1"/>
    <xf numFmtId="166" fontId="5" fillId="0" borderId="0" xfId="0" applyNumberFormat="1" applyFont="1" applyAlignment="1">
      <alignment horizontal="center"/>
    </xf>
    <xf numFmtId="0" fontId="0" fillId="0" borderId="0" xfId="0"/>
    <xf numFmtId="40" fontId="0" fillId="0" borderId="0" xfId="0" applyNumberFormat="1"/>
    <xf numFmtId="166" fontId="11" fillId="6" borderId="0" xfId="0" applyNumberFormat="1" applyFont="1" applyFill="1" applyAlignment="1">
      <alignment horizontal="center"/>
    </xf>
    <xf numFmtId="0" fontId="2" fillId="0" borderId="0" xfId="0" applyFont="1"/>
    <xf numFmtId="166" fontId="10" fillId="9" borderId="0" xfId="0" applyNumberFormat="1" applyFont="1" applyFill="1" applyAlignment="1">
      <alignment horizontal="center"/>
    </xf>
    <xf numFmtId="0" fontId="7" fillId="9" borderId="0" xfId="0" applyFont="1" applyFill="1"/>
    <xf numFmtId="40" fontId="7" fillId="9" borderId="0" xfId="0" applyNumberFormat="1" applyFont="1" applyFill="1"/>
    <xf numFmtId="166" fontId="10" fillId="6" borderId="0" xfId="0" applyNumberFormat="1" applyFont="1" applyFill="1" applyAlignment="1">
      <alignment horizontal="center"/>
    </xf>
    <xf numFmtId="0" fontId="7" fillId="6" borderId="0" xfId="0" applyFont="1" applyFill="1"/>
    <xf numFmtId="40" fontId="7" fillId="6" borderId="0" xfId="0" applyNumberFormat="1" applyFont="1" applyFill="1"/>
    <xf numFmtId="0" fontId="0" fillId="6" borderId="0" xfId="0" applyFill="1"/>
    <xf numFmtId="40" fontId="0" fillId="6" borderId="0" xfId="0" applyNumberFormat="1" applyFill="1"/>
  </cellXfs>
  <cellStyles count="2">
    <cellStyle name="Moeda" xfId="1" builtinId="4"/>
    <cellStyle name="Normal" xfId="0" builtinId="0"/>
  </cellStyles>
  <dxfs count="85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71"/>
  <sheetViews>
    <sheetView topLeftCell="A27" workbookViewId="0">
      <selection activeCell="J28" sqref="J28"/>
    </sheetView>
  </sheetViews>
  <sheetFormatPr defaultRowHeight="15" x14ac:dyDescent="0.25"/>
  <cols>
    <col min="1" max="1" width="13" style="4" customWidth="1"/>
    <col min="2" max="2" width="24.5703125" bestFit="1" customWidth="1"/>
    <col min="3" max="3" width="7.140625" style="4" customWidth="1"/>
    <col min="4" max="4" width="9.28515625" customWidth="1"/>
  </cols>
  <sheetData>
    <row r="1" spans="1:4" x14ac:dyDescent="0.25">
      <c r="A1" s="84" t="s">
        <v>0</v>
      </c>
      <c r="B1" s="85" t="s">
        <v>1</v>
      </c>
      <c r="C1" s="84" t="s">
        <v>2</v>
      </c>
      <c r="D1" s="85" t="s">
        <v>3</v>
      </c>
    </row>
    <row r="2" spans="1:4" x14ac:dyDescent="0.25">
      <c r="A2" s="86">
        <v>44774</v>
      </c>
      <c r="B2" s="87" t="s">
        <v>4</v>
      </c>
      <c r="C2" s="88">
        <v>1500</v>
      </c>
      <c r="D2" s="87"/>
    </row>
    <row r="3" spans="1:4" x14ac:dyDescent="0.25">
      <c r="A3" s="1">
        <v>44795</v>
      </c>
      <c r="B3" t="s">
        <v>5</v>
      </c>
      <c r="C3" s="4">
        <v>141</v>
      </c>
    </row>
    <row r="4" spans="1:4" x14ac:dyDescent="0.25">
      <c r="A4" s="86">
        <v>44795</v>
      </c>
      <c r="B4" s="87" t="s">
        <v>6</v>
      </c>
      <c r="C4" s="89">
        <v>2622</v>
      </c>
      <c r="D4" s="90">
        <f>SUM(C2:C4)</f>
        <v>4263</v>
      </c>
    </row>
    <row r="5" spans="1:4" x14ac:dyDescent="0.25">
      <c r="A5" s="1"/>
    </row>
    <row r="6" spans="1:4" x14ac:dyDescent="0.25">
      <c r="A6" s="86">
        <v>44805</v>
      </c>
      <c r="B6" s="87" t="s">
        <v>7</v>
      </c>
      <c r="C6" s="88">
        <v>1500</v>
      </c>
      <c r="D6" s="87"/>
    </row>
    <row r="7" spans="1:4" x14ac:dyDescent="0.25">
      <c r="A7" s="1">
        <v>44834</v>
      </c>
      <c r="B7" t="s">
        <v>8</v>
      </c>
      <c r="C7" s="91">
        <v>2763</v>
      </c>
      <c r="D7" s="3">
        <f>SUM(C6:C7)</f>
        <v>4263</v>
      </c>
    </row>
    <row r="8" spans="1:4" x14ac:dyDescent="0.25">
      <c r="A8" s="86"/>
      <c r="B8" s="87"/>
      <c r="C8" s="87"/>
      <c r="D8" s="87"/>
    </row>
    <row r="9" spans="1:4" x14ac:dyDescent="0.25">
      <c r="A9" s="1">
        <v>44837</v>
      </c>
      <c r="B9" t="s">
        <v>9</v>
      </c>
      <c r="C9" s="4">
        <v>1500</v>
      </c>
    </row>
    <row r="10" spans="1:4" x14ac:dyDescent="0.25">
      <c r="A10" s="86">
        <v>44865</v>
      </c>
      <c r="B10" s="87" t="s">
        <v>10</v>
      </c>
      <c r="C10" s="88">
        <v>2000</v>
      </c>
      <c r="D10" s="90">
        <f>SUM(C9:C10)</f>
        <v>3500</v>
      </c>
    </row>
    <row r="11" spans="1:4" x14ac:dyDescent="0.25">
      <c r="A11" s="1"/>
    </row>
    <row r="12" spans="1:4" x14ac:dyDescent="0.25">
      <c r="A12" s="86">
        <v>44866</v>
      </c>
      <c r="B12" s="87" t="s">
        <v>11</v>
      </c>
      <c r="C12" s="88">
        <v>763</v>
      </c>
      <c r="D12" s="87"/>
    </row>
    <row r="13" spans="1:4" x14ac:dyDescent="0.25">
      <c r="A13" s="1">
        <v>44868</v>
      </c>
      <c r="B13" t="s">
        <v>12</v>
      </c>
      <c r="C13" s="4">
        <v>1000</v>
      </c>
    </row>
    <row r="14" spans="1:4" x14ac:dyDescent="0.25">
      <c r="A14" s="86">
        <v>44872</v>
      </c>
      <c r="B14" s="87" t="s">
        <v>13</v>
      </c>
      <c r="C14" s="88">
        <v>500</v>
      </c>
      <c r="D14" s="90">
        <f>SUM(C12:C14)</f>
        <v>2263</v>
      </c>
    </row>
    <row r="15" spans="1:4" x14ac:dyDescent="0.25">
      <c r="A15" s="1"/>
    </row>
    <row r="16" spans="1:4" x14ac:dyDescent="0.25">
      <c r="A16" s="86">
        <v>44896</v>
      </c>
      <c r="B16" s="87" t="s">
        <v>14</v>
      </c>
      <c r="C16" s="88">
        <v>2000</v>
      </c>
      <c r="D16" s="87"/>
    </row>
    <row r="17" spans="1:4" x14ac:dyDescent="0.25">
      <c r="A17" s="1">
        <v>44896</v>
      </c>
      <c r="B17" t="s">
        <v>15</v>
      </c>
      <c r="C17" s="4">
        <v>1000</v>
      </c>
    </row>
    <row r="18" spans="1:4" x14ac:dyDescent="0.25">
      <c r="A18" s="86">
        <v>44897</v>
      </c>
      <c r="B18" s="87" t="s">
        <v>16</v>
      </c>
      <c r="C18" s="88">
        <v>2000</v>
      </c>
      <c r="D18" s="90">
        <f>SUM(C16:C18)</f>
        <v>5000</v>
      </c>
    </row>
    <row r="19" spans="1:4" x14ac:dyDescent="0.25">
      <c r="A19" s="1"/>
    </row>
    <row r="20" spans="1:4" x14ac:dyDescent="0.25">
      <c r="A20" s="86">
        <v>44957</v>
      </c>
      <c r="B20" s="87" t="s">
        <v>17</v>
      </c>
      <c r="C20" s="88">
        <v>1000</v>
      </c>
      <c r="D20" s="90">
        <f>C20</f>
        <v>1000</v>
      </c>
    </row>
    <row r="21" spans="1:4" x14ac:dyDescent="0.25">
      <c r="A21" s="1"/>
    </row>
    <row r="22" spans="1:4" x14ac:dyDescent="0.25">
      <c r="A22" s="86">
        <v>44959</v>
      </c>
      <c r="B22" s="87" t="s">
        <v>18</v>
      </c>
      <c r="C22" s="89">
        <v>4000</v>
      </c>
      <c r="D22" s="87"/>
    </row>
    <row r="23" spans="1:4" x14ac:dyDescent="0.25">
      <c r="A23" s="1">
        <v>44963</v>
      </c>
      <c r="B23" t="s">
        <v>19</v>
      </c>
      <c r="C23" s="4">
        <v>2000</v>
      </c>
      <c r="D23" s="3">
        <f>SUM(C22:C23)</f>
        <v>6000</v>
      </c>
    </row>
    <row r="24" spans="1:4" x14ac:dyDescent="0.25">
      <c r="A24" s="86"/>
      <c r="B24" s="87"/>
      <c r="C24" s="87"/>
      <c r="D24" s="87"/>
    </row>
    <row r="25" spans="1:4" x14ac:dyDescent="0.25">
      <c r="A25" s="1">
        <v>44986</v>
      </c>
      <c r="B25" t="s">
        <v>20</v>
      </c>
      <c r="C25" s="4">
        <v>2000</v>
      </c>
    </row>
    <row r="26" spans="1:4" x14ac:dyDescent="0.25">
      <c r="A26" s="86">
        <v>44987</v>
      </c>
      <c r="B26" s="87" t="s">
        <v>21</v>
      </c>
      <c r="C26" s="88">
        <v>2000</v>
      </c>
      <c r="D26" s="87"/>
    </row>
    <row r="27" spans="1:4" x14ac:dyDescent="0.25">
      <c r="A27" s="1">
        <v>44993</v>
      </c>
      <c r="B27" t="s">
        <v>22</v>
      </c>
      <c r="C27" s="4">
        <v>1500</v>
      </c>
      <c r="D27" s="3">
        <f>SUM(C25:C27)</f>
        <v>5500</v>
      </c>
    </row>
    <row r="28" spans="1:4" x14ac:dyDescent="0.25">
      <c r="A28" s="86"/>
      <c r="B28" s="87"/>
      <c r="C28" s="87"/>
      <c r="D28" s="87"/>
    </row>
    <row r="29" spans="1:4" x14ac:dyDescent="0.25">
      <c r="A29" s="1">
        <v>45020</v>
      </c>
      <c r="B29" t="s">
        <v>23</v>
      </c>
      <c r="C29" s="4">
        <v>2000</v>
      </c>
    </row>
    <row r="30" spans="1:4" x14ac:dyDescent="0.25">
      <c r="A30" s="86">
        <v>45026</v>
      </c>
      <c r="B30" s="87" t="s">
        <v>24</v>
      </c>
      <c r="C30" s="88">
        <v>1200</v>
      </c>
      <c r="D30" s="87"/>
    </row>
    <row r="31" spans="1:4" x14ac:dyDescent="0.25">
      <c r="A31" s="1">
        <v>45026</v>
      </c>
      <c r="B31" t="s">
        <v>25</v>
      </c>
      <c r="C31" s="4">
        <v>1230</v>
      </c>
    </row>
    <row r="32" spans="1:4" x14ac:dyDescent="0.25">
      <c r="A32" s="86">
        <v>45027</v>
      </c>
      <c r="B32" s="87" t="s">
        <v>26</v>
      </c>
      <c r="C32" s="88">
        <v>1000</v>
      </c>
      <c r="D32" s="90">
        <f>SUM(C29:C32)</f>
        <v>5430</v>
      </c>
    </row>
    <row r="33" spans="1:4" x14ac:dyDescent="0.25">
      <c r="A33" s="1"/>
    </row>
    <row r="34" spans="1:4" x14ac:dyDescent="0.25">
      <c r="A34" s="86">
        <v>45049</v>
      </c>
      <c r="B34" s="87" t="s">
        <v>27</v>
      </c>
      <c r="C34" s="88">
        <v>1500</v>
      </c>
      <c r="D34" s="87"/>
    </row>
    <row r="35" spans="1:4" x14ac:dyDescent="0.25">
      <c r="A35" s="1">
        <v>45054</v>
      </c>
      <c r="B35" t="s">
        <v>28</v>
      </c>
      <c r="C35" s="4">
        <v>1000</v>
      </c>
    </row>
    <row r="36" spans="1:4" x14ac:dyDescent="0.25">
      <c r="A36" s="86">
        <v>45055</v>
      </c>
      <c r="B36" s="87" t="s">
        <v>29</v>
      </c>
      <c r="C36" s="88">
        <v>500</v>
      </c>
      <c r="D36" s="87"/>
    </row>
    <row r="37" spans="1:4" x14ac:dyDescent="0.25">
      <c r="A37" s="1">
        <v>45055</v>
      </c>
      <c r="B37" t="s">
        <v>30</v>
      </c>
      <c r="C37" s="4">
        <v>500</v>
      </c>
    </row>
    <row r="38" spans="1:4" x14ac:dyDescent="0.25">
      <c r="A38" s="86">
        <v>45055</v>
      </c>
      <c r="B38" s="87" t="s">
        <v>30</v>
      </c>
      <c r="C38" s="88">
        <v>1500</v>
      </c>
      <c r="D38" s="90">
        <f>SUM(C34:C38)</f>
        <v>5000</v>
      </c>
    </row>
    <row r="40" spans="1:4" x14ac:dyDescent="0.25">
      <c r="A40" s="86">
        <v>45084</v>
      </c>
      <c r="B40" s="87" t="s">
        <v>31</v>
      </c>
      <c r="C40" s="88">
        <v>2000</v>
      </c>
      <c r="D40" s="87"/>
    </row>
    <row r="41" spans="1:4" x14ac:dyDescent="0.25">
      <c r="A41" s="1">
        <v>45084</v>
      </c>
      <c r="B41" t="s">
        <v>32</v>
      </c>
      <c r="C41" s="4">
        <v>2000</v>
      </c>
    </row>
    <row r="42" spans="1:4" x14ac:dyDescent="0.25">
      <c r="A42" s="86">
        <v>45085</v>
      </c>
      <c r="B42" s="87" t="s">
        <v>31</v>
      </c>
      <c r="C42" s="88">
        <v>1000</v>
      </c>
      <c r="D42" s="90">
        <f>SUM(C40:C42)</f>
        <v>5000</v>
      </c>
    </row>
    <row r="43" spans="1:4" x14ac:dyDescent="0.25">
      <c r="A43" s="1"/>
    </row>
    <row r="44" spans="1:4" x14ac:dyDescent="0.25">
      <c r="A44" s="86">
        <v>45113</v>
      </c>
      <c r="B44" s="87" t="s">
        <v>31</v>
      </c>
      <c r="C44" s="88">
        <v>2000</v>
      </c>
      <c r="D44" s="87"/>
    </row>
    <row r="45" spans="1:4" x14ac:dyDescent="0.25">
      <c r="A45" s="1">
        <v>45114</v>
      </c>
      <c r="B45" t="s">
        <v>31</v>
      </c>
      <c r="C45" s="4">
        <v>1800</v>
      </c>
    </row>
    <row r="46" spans="1:4" x14ac:dyDescent="0.25">
      <c r="A46" s="86">
        <v>45117</v>
      </c>
      <c r="B46" s="87" t="s">
        <v>31</v>
      </c>
      <c r="C46" s="88">
        <v>1000</v>
      </c>
      <c r="D46" s="90">
        <f>SUM(C44:C46)</f>
        <v>4800</v>
      </c>
    </row>
    <row r="47" spans="1:4" x14ac:dyDescent="0.25">
      <c r="A47" s="1"/>
    </row>
    <row r="48" spans="1:4" x14ac:dyDescent="0.25">
      <c r="A48" s="86">
        <v>45140</v>
      </c>
      <c r="B48" s="87" t="s">
        <v>31</v>
      </c>
      <c r="C48" s="88">
        <v>1300</v>
      </c>
      <c r="D48" s="87"/>
    </row>
    <row r="49" spans="1:4" x14ac:dyDescent="0.25">
      <c r="A49" s="1"/>
    </row>
    <row r="50" spans="1:4" x14ac:dyDescent="0.25">
      <c r="A50" s="86"/>
      <c r="B50" s="87"/>
      <c r="C50" s="87"/>
      <c r="D50" s="87"/>
    </row>
    <row r="51" spans="1:4" x14ac:dyDescent="0.25">
      <c r="A51" s="1"/>
    </row>
    <row r="52" spans="1:4" x14ac:dyDescent="0.25">
      <c r="A52" s="86"/>
      <c r="B52" s="87"/>
      <c r="C52" s="87"/>
      <c r="D52" s="87"/>
    </row>
    <row r="53" spans="1:4" x14ac:dyDescent="0.25">
      <c r="A53" s="1"/>
    </row>
    <row r="54" spans="1:4" x14ac:dyDescent="0.25">
      <c r="A54" s="86"/>
      <c r="B54" s="87"/>
      <c r="C54" s="87"/>
      <c r="D54" s="87"/>
    </row>
    <row r="55" spans="1:4" x14ac:dyDescent="0.25">
      <c r="A55" s="1"/>
    </row>
    <row r="56" spans="1:4" x14ac:dyDescent="0.25">
      <c r="A56" s="86"/>
      <c r="B56" s="87"/>
      <c r="C56" s="87"/>
      <c r="D56" s="87"/>
    </row>
    <row r="57" spans="1:4" x14ac:dyDescent="0.25">
      <c r="A57" s="1"/>
    </row>
    <row r="58" spans="1:4" x14ac:dyDescent="0.25">
      <c r="A58" s="86"/>
      <c r="B58" s="87"/>
      <c r="C58" s="87"/>
      <c r="D58" s="87"/>
    </row>
    <row r="59" spans="1:4" x14ac:dyDescent="0.25">
      <c r="A59" s="1"/>
    </row>
    <row r="60" spans="1:4" x14ac:dyDescent="0.25">
      <c r="A60" s="86"/>
      <c r="B60" s="87"/>
      <c r="C60" s="87"/>
      <c r="D60" s="87"/>
    </row>
    <row r="61" spans="1:4" x14ac:dyDescent="0.25">
      <c r="A61" s="1"/>
    </row>
    <row r="62" spans="1:4" x14ac:dyDescent="0.25">
      <c r="A62" s="86"/>
      <c r="B62" s="87"/>
      <c r="C62" s="87"/>
      <c r="D62" s="87"/>
    </row>
    <row r="63" spans="1:4" x14ac:dyDescent="0.25">
      <c r="A63" s="1"/>
    </row>
    <row r="64" spans="1:4" x14ac:dyDescent="0.25">
      <c r="A64" s="86"/>
      <c r="B64" s="87"/>
      <c r="C64" s="87"/>
      <c r="D64" s="87"/>
    </row>
    <row r="65" spans="1:4" x14ac:dyDescent="0.25">
      <c r="A65" s="1"/>
    </row>
    <row r="66" spans="1:4" x14ac:dyDescent="0.25">
      <c r="A66" s="86"/>
      <c r="B66" s="87"/>
      <c r="C66" s="87"/>
      <c r="D66" s="87"/>
    </row>
    <row r="67" spans="1:4" x14ac:dyDescent="0.25">
      <c r="A67" s="1"/>
    </row>
    <row r="68" spans="1:4" x14ac:dyDescent="0.25">
      <c r="A68" s="86"/>
      <c r="B68" s="87"/>
      <c r="C68" s="87"/>
      <c r="D68" s="87"/>
    </row>
    <row r="69" spans="1:4" x14ac:dyDescent="0.25">
      <c r="A69" s="1"/>
    </row>
    <row r="70" spans="1:4" x14ac:dyDescent="0.25">
      <c r="A70" s="86"/>
      <c r="B70" s="87"/>
      <c r="C70" s="87"/>
      <c r="D70" s="87"/>
    </row>
    <row r="71" spans="1:4" x14ac:dyDescent="0.25">
      <c r="A71" s="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47"/>
  <sheetViews>
    <sheetView workbookViewId="0">
      <pane ySplit="4" topLeftCell="A35" activePane="bottomLeft" state="frozen"/>
      <selection pane="bottomLeft" activeCell="H49" sqref="H49"/>
    </sheetView>
  </sheetViews>
  <sheetFormatPr defaultRowHeight="15" x14ac:dyDescent="0.25"/>
  <cols>
    <col min="1" max="1" width="10.7109375" bestFit="1" customWidth="1"/>
    <col min="2" max="2" width="23.42578125" bestFit="1" customWidth="1"/>
    <col min="3" max="3" width="13.7109375" style="19" bestFit="1" customWidth="1"/>
    <col min="4" max="4" width="5.140625" bestFit="1" customWidth="1"/>
  </cols>
  <sheetData>
    <row r="1" spans="1:4" x14ac:dyDescent="0.25">
      <c r="B1" s="10" t="s">
        <v>33</v>
      </c>
      <c r="C1" s="17">
        <f>SUM(C5:C44)</f>
        <v>-82403.200000000055</v>
      </c>
    </row>
    <row r="2" spans="1:4" x14ac:dyDescent="0.25">
      <c r="B2" s="10" t="s">
        <v>34</v>
      </c>
      <c r="C2" s="17">
        <f ca="1">-SUMIFS(C5:C44,D5:D44,"x")</f>
        <v>76222.96000000005</v>
      </c>
    </row>
    <row r="3" spans="1:4" x14ac:dyDescent="0.25">
      <c r="B3" s="10" t="s">
        <v>35</v>
      </c>
      <c r="C3" s="17">
        <f ca="1">C1+C2</f>
        <v>-6180.2400000000052</v>
      </c>
    </row>
    <row r="4" spans="1:4" x14ac:dyDescent="0.25">
      <c r="A4" s="3" t="s">
        <v>0</v>
      </c>
      <c r="B4" s="2" t="s">
        <v>1</v>
      </c>
      <c r="C4" s="17" t="s">
        <v>2</v>
      </c>
      <c r="D4" t="s">
        <v>36</v>
      </c>
    </row>
    <row r="5" spans="1:4" x14ac:dyDescent="0.25">
      <c r="A5" s="1">
        <v>44956</v>
      </c>
      <c r="B5" t="s">
        <v>37</v>
      </c>
      <c r="C5" s="18">
        <v>-2060.08</v>
      </c>
      <c r="D5" t="str">
        <f t="shared" ref="D5:D44" ca="1" si="0">IF((TODAY()-30)&gt;A5,"x","")</f>
        <v>x</v>
      </c>
    </row>
    <row r="6" spans="1:4" x14ac:dyDescent="0.25">
      <c r="A6" s="1">
        <v>44985</v>
      </c>
      <c r="B6" t="s">
        <v>38</v>
      </c>
      <c r="C6" s="18">
        <v>-2060.08</v>
      </c>
      <c r="D6" t="str">
        <f t="shared" ca="1" si="0"/>
        <v>x</v>
      </c>
    </row>
    <row r="7" spans="1:4" x14ac:dyDescent="0.25">
      <c r="A7" s="1">
        <v>45015</v>
      </c>
      <c r="B7" t="s">
        <v>39</v>
      </c>
      <c r="C7" s="18">
        <v>-2060.08</v>
      </c>
      <c r="D7" t="str">
        <f t="shared" ca="1" si="0"/>
        <v>x</v>
      </c>
    </row>
    <row r="8" spans="1:4" x14ac:dyDescent="0.25">
      <c r="A8" s="1">
        <v>45048</v>
      </c>
      <c r="B8" t="s">
        <v>40</v>
      </c>
      <c r="C8" s="18">
        <v>-2060.08</v>
      </c>
      <c r="D8" t="str">
        <f t="shared" ca="1" si="0"/>
        <v>x</v>
      </c>
    </row>
    <row r="9" spans="1:4" x14ac:dyDescent="0.25">
      <c r="A9" s="1">
        <v>45076</v>
      </c>
      <c r="B9" t="s">
        <v>41</v>
      </c>
      <c r="C9" s="18">
        <v>-2060.08</v>
      </c>
      <c r="D9" t="str">
        <f t="shared" ca="1" si="0"/>
        <v>x</v>
      </c>
    </row>
    <row r="10" spans="1:4" x14ac:dyDescent="0.25">
      <c r="A10" s="1">
        <f t="shared" ref="A10:A44" si="1">A9+30</f>
        <v>45106</v>
      </c>
      <c r="B10" t="s">
        <v>42</v>
      </c>
      <c r="C10" s="18">
        <v>-2060.08</v>
      </c>
      <c r="D10" t="str">
        <f t="shared" ca="1" si="0"/>
        <v>x</v>
      </c>
    </row>
    <row r="11" spans="1:4" x14ac:dyDescent="0.25">
      <c r="A11" s="1">
        <f t="shared" si="1"/>
        <v>45136</v>
      </c>
      <c r="B11" t="s">
        <v>43</v>
      </c>
      <c r="C11" s="18">
        <v>-2060.08</v>
      </c>
      <c r="D11" t="str">
        <f t="shared" ca="1" si="0"/>
        <v>x</v>
      </c>
    </row>
    <row r="12" spans="1:4" x14ac:dyDescent="0.25">
      <c r="A12" s="1">
        <f t="shared" si="1"/>
        <v>45166</v>
      </c>
      <c r="B12" t="s">
        <v>44</v>
      </c>
      <c r="C12" s="18">
        <v>-2060.08</v>
      </c>
      <c r="D12" t="str">
        <f t="shared" ca="1" si="0"/>
        <v>x</v>
      </c>
    </row>
    <row r="13" spans="1:4" x14ac:dyDescent="0.25">
      <c r="A13" s="1">
        <f t="shared" si="1"/>
        <v>45196</v>
      </c>
      <c r="B13" t="s">
        <v>45</v>
      </c>
      <c r="C13" s="18">
        <v>-2060.08</v>
      </c>
      <c r="D13" t="str">
        <f t="shared" ca="1" si="0"/>
        <v>x</v>
      </c>
    </row>
    <row r="14" spans="1:4" x14ac:dyDescent="0.25">
      <c r="A14" s="1">
        <f t="shared" si="1"/>
        <v>45226</v>
      </c>
      <c r="B14" t="s">
        <v>46</v>
      </c>
      <c r="C14" s="18">
        <v>-2060.08</v>
      </c>
      <c r="D14" t="str">
        <f t="shared" ca="1" si="0"/>
        <v>x</v>
      </c>
    </row>
    <row r="15" spans="1:4" x14ac:dyDescent="0.25">
      <c r="A15" s="1">
        <f t="shared" si="1"/>
        <v>45256</v>
      </c>
      <c r="B15" t="s">
        <v>47</v>
      </c>
      <c r="C15" s="18">
        <v>-2060.08</v>
      </c>
      <c r="D15" t="str">
        <f t="shared" ca="1" si="0"/>
        <v>x</v>
      </c>
    </row>
    <row r="16" spans="1:4" x14ac:dyDescent="0.25">
      <c r="A16" s="1">
        <f t="shared" si="1"/>
        <v>45286</v>
      </c>
      <c r="B16" t="s">
        <v>48</v>
      </c>
      <c r="C16" s="18">
        <v>-2060.08</v>
      </c>
      <c r="D16" t="str">
        <f t="shared" ca="1" si="0"/>
        <v>x</v>
      </c>
    </row>
    <row r="17" spans="1:4" x14ac:dyDescent="0.25">
      <c r="A17" s="1">
        <f t="shared" si="1"/>
        <v>45316</v>
      </c>
      <c r="B17" t="s">
        <v>49</v>
      </c>
      <c r="C17" s="18">
        <v>-2060.08</v>
      </c>
      <c r="D17" t="str">
        <f t="shared" ca="1" si="0"/>
        <v>x</v>
      </c>
    </row>
    <row r="18" spans="1:4" x14ac:dyDescent="0.25">
      <c r="A18" s="1">
        <f t="shared" si="1"/>
        <v>45346</v>
      </c>
      <c r="B18" t="s">
        <v>50</v>
      </c>
      <c r="C18" s="18">
        <v>-2060.08</v>
      </c>
      <c r="D18" t="str">
        <f t="shared" ca="1" si="0"/>
        <v>x</v>
      </c>
    </row>
    <row r="19" spans="1:4" x14ac:dyDescent="0.25">
      <c r="A19" s="1">
        <f t="shared" si="1"/>
        <v>45376</v>
      </c>
      <c r="B19" t="s">
        <v>51</v>
      </c>
      <c r="C19" s="18">
        <v>-2060.08</v>
      </c>
      <c r="D19" t="str">
        <f t="shared" ca="1" si="0"/>
        <v>x</v>
      </c>
    </row>
    <row r="20" spans="1:4" x14ac:dyDescent="0.25">
      <c r="A20" s="1">
        <f t="shared" si="1"/>
        <v>45406</v>
      </c>
      <c r="B20" t="s">
        <v>52</v>
      </c>
      <c r="C20" s="18">
        <v>-2060.08</v>
      </c>
      <c r="D20" t="str">
        <f t="shared" ca="1" si="0"/>
        <v>x</v>
      </c>
    </row>
    <row r="21" spans="1:4" x14ac:dyDescent="0.25">
      <c r="A21" s="1">
        <f t="shared" si="1"/>
        <v>45436</v>
      </c>
      <c r="B21" t="s">
        <v>53</v>
      </c>
      <c r="C21" s="18">
        <v>-2060.08</v>
      </c>
      <c r="D21" t="str">
        <f t="shared" ca="1" si="0"/>
        <v>x</v>
      </c>
    </row>
    <row r="22" spans="1:4" x14ac:dyDescent="0.25">
      <c r="A22" s="1">
        <f t="shared" si="1"/>
        <v>45466</v>
      </c>
      <c r="B22" t="s">
        <v>54</v>
      </c>
      <c r="C22" s="18">
        <v>-2060.08</v>
      </c>
      <c r="D22" t="str">
        <f t="shared" ca="1" si="0"/>
        <v>x</v>
      </c>
    </row>
    <row r="23" spans="1:4" x14ac:dyDescent="0.25">
      <c r="A23" s="1">
        <f t="shared" si="1"/>
        <v>45496</v>
      </c>
      <c r="B23" t="s">
        <v>55</v>
      </c>
      <c r="C23" s="18">
        <v>-2060.08</v>
      </c>
      <c r="D23" t="str">
        <f t="shared" ca="1" si="0"/>
        <v>x</v>
      </c>
    </row>
    <row r="24" spans="1:4" x14ac:dyDescent="0.25">
      <c r="A24" s="1">
        <f t="shared" si="1"/>
        <v>45526</v>
      </c>
      <c r="B24" t="s">
        <v>56</v>
      </c>
      <c r="C24" s="18">
        <v>-2060.08</v>
      </c>
      <c r="D24" t="str">
        <f t="shared" ca="1" si="0"/>
        <v>x</v>
      </c>
    </row>
    <row r="25" spans="1:4" x14ac:dyDescent="0.25">
      <c r="A25" s="1">
        <f t="shared" si="1"/>
        <v>45556</v>
      </c>
      <c r="B25" t="s">
        <v>57</v>
      </c>
      <c r="C25" s="18">
        <v>-2060.08</v>
      </c>
      <c r="D25" t="str">
        <f t="shared" ca="1" si="0"/>
        <v>x</v>
      </c>
    </row>
    <row r="26" spans="1:4" x14ac:dyDescent="0.25">
      <c r="A26" s="1">
        <f t="shared" si="1"/>
        <v>45586</v>
      </c>
      <c r="B26" t="s">
        <v>58</v>
      </c>
      <c r="C26" s="18">
        <v>-2060.08</v>
      </c>
      <c r="D26" t="str">
        <f t="shared" ca="1" si="0"/>
        <v>x</v>
      </c>
    </row>
    <row r="27" spans="1:4" x14ac:dyDescent="0.25">
      <c r="A27" s="1">
        <f t="shared" si="1"/>
        <v>45616</v>
      </c>
      <c r="B27" t="s">
        <v>59</v>
      </c>
      <c r="C27" s="18">
        <v>-2060.08</v>
      </c>
      <c r="D27" t="str">
        <f t="shared" ca="1" si="0"/>
        <v>x</v>
      </c>
    </row>
    <row r="28" spans="1:4" x14ac:dyDescent="0.25">
      <c r="A28" s="1">
        <f t="shared" si="1"/>
        <v>45646</v>
      </c>
      <c r="B28" t="s">
        <v>60</v>
      </c>
      <c r="C28" s="18">
        <v>-2060.08</v>
      </c>
      <c r="D28" t="str">
        <f t="shared" ca="1" si="0"/>
        <v>x</v>
      </c>
    </row>
    <row r="29" spans="1:4" x14ac:dyDescent="0.25">
      <c r="A29" s="1">
        <f t="shared" si="1"/>
        <v>45676</v>
      </c>
      <c r="B29" t="s">
        <v>61</v>
      </c>
      <c r="C29" s="18">
        <v>-2060.08</v>
      </c>
      <c r="D29" t="str">
        <f t="shared" ca="1" si="0"/>
        <v>x</v>
      </c>
    </row>
    <row r="30" spans="1:4" x14ac:dyDescent="0.25">
      <c r="A30" s="1">
        <f t="shared" si="1"/>
        <v>45706</v>
      </c>
      <c r="B30" t="s">
        <v>62</v>
      </c>
      <c r="C30" s="18">
        <v>-2060.08</v>
      </c>
      <c r="D30" t="str">
        <f t="shared" ca="1" si="0"/>
        <v>x</v>
      </c>
    </row>
    <row r="31" spans="1:4" x14ac:dyDescent="0.25">
      <c r="A31" s="1">
        <f t="shared" si="1"/>
        <v>45736</v>
      </c>
      <c r="B31" t="s">
        <v>63</v>
      </c>
      <c r="C31" s="18">
        <v>-2060.08</v>
      </c>
      <c r="D31" t="str">
        <f t="shared" ca="1" si="0"/>
        <v>x</v>
      </c>
    </row>
    <row r="32" spans="1:4" x14ac:dyDescent="0.25">
      <c r="A32" s="1">
        <f t="shared" si="1"/>
        <v>45766</v>
      </c>
      <c r="B32" t="s">
        <v>64</v>
      </c>
      <c r="C32" s="18">
        <v>-2060.08</v>
      </c>
      <c r="D32" t="str">
        <f t="shared" ca="1" si="0"/>
        <v>x</v>
      </c>
    </row>
    <row r="33" spans="1:4" x14ac:dyDescent="0.25">
      <c r="A33" s="1">
        <f t="shared" si="1"/>
        <v>45796</v>
      </c>
      <c r="B33" t="s">
        <v>65</v>
      </c>
      <c r="C33" s="18">
        <v>-2060.08</v>
      </c>
      <c r="D33" t="str">
        <f t="shared" ca="1" si="0"/>
        <v>x</v>
      </c>
    </row>
    <row r="34" spans="1:4" x14ac:dyDescent="0.25">
      <c r="A34" s="1">
        <f t="shared" si="1"/>
        <v>45826</v>
      </c>
      <c r="B34" t="s">
        <v>66</v>
      </c>
      <c r="C34" s="18">
        <v>-2060.08</v>
      </c>
      <c r="D34" t="str">
        <f t="shared" ca="1" si="0"/>
        <v>x</v>
      </c>
    </row>
    <row r="35" spans="1:4" x14ac:dyDescent="0.25">
      <c r="A35" s="1">
        <f t="shared" si="1"/>
        <v>45856</v>
      </c>
      <c r="B35" t="s">
        <v>67</v>
      </c>
      <c r="C35" s="18">
        <v>-2060.08</v>
      </c>
      <c r="D35" t="str">
        <f t="shared" ca="1" si="0"/>
        <v>x</v>
      </c>
    </row>
    <row r="36" spans="1:4" x14ac:dyDescent="0.25">
      <c r="A36" s="1">
        <f t="shared" si="1"/>
        <v>45886</v>
      </c>
      <c r="B36" t="s">
        <v>68</v>
      </c>
      <c r="C36" s="18">
        <v>-2060.08</v>
      </c>
      <c r="D36" t="str">
        <f t="shared" ca="1" si="0"/>
        <v>x</v>
      </c>
    </row>
    <row r="37" spans="1:4" x14ac:dyDescent="0.25">
      <c r="A37" s="1">
        <f t="shared" si="1"/>
        <v>45916</v>
      </c>
      <c r="B37" t="s">
        <v>69</v>
      </c>
      <c r="C37" s="18">
        <v>-2060.08</v>
      </c>
      <c r="D37" t="str">
        <f t="shared" ca="1" si="0"/>
        <v>x</v>
      </c>
    </row>
    <row r="38" spans="1:4" x14ac:dyDescent="0.25">
      <c r="A38" s="1">
        <f t="shared" si="1"/>
        <v>45946</v>
      </c>
      <c r="B38" t="s">
        <v>70</v>
      </c>
      <c r="C38" s="18">
        <v>-2060.08</v>
      </c>
      <c r="D38" t="str">
        <f t="shared" ca="1" si="0"/>
        <v>x</v>
      </c>
    </row>
    <row r="39" spans="1:4" x14ac:dyDescent="0.25">
      <c r="A39" s="1">
        <f t="shared" si="1"/>
        <v>45976</v>
      </c>
      <c r="B39" t="s">
        <v>71</v>
      </c>
      <c r="C39" s="18">
        <v>-2060.08</v>
      </c>
      <c r="D39" t="str">
        <f t="shared" ca="1" si="0"/>
        <v>x</v>
      </c>
    </row>
    <row r="40" spans="1:4" x14ac:dyDescent="0.25">
      <c r="A40" s="1">
        <f t="shared" si="1"/>
        <v>46006</v>
      </c>
      <c r="B40" t="s">
        <v>72</v>
      </c>
      <c r="C40" s="18">
        <v>-2060.08</v>
      </c>
      <c r="D40" t="str">
        <f t="shared" ca="1" si="0"/>
        <v>x</v>
      </c>
    </row>
    <row r="41" spans="1:4" x14ac:dyDescent="0.25">
      <c r="A41" s="1">
        <f t="shared" si="1"/>
        <v>46036</v>
      </c>
      <c r="B41" t="s">
        <v>73</v>
      </c>
      <c r="C41" s="18">
        <v>-2060.08</v>
      </c>
      <c r="D41" t="str">
        <f t="shared" ca="1" si="0"/>
        <v>x</v>
      </c>
    </row>
    <row r="42" spans="1:4" x14ac:dyDescent="0.25">
      <c r="A42" s="1">
        <f t="shared" si="1"/>
        <v>46066</v>
      </c>
      <c r="B42" t="s">
        <v>74</v>
      </c>
      <c r="C42" s="18">
        <v>-2060.08</v>
      </c>
      <c r="D42" t="str">
        <f t="shared" ca="1" si="0"/>
        <v/>
      </c>
    </row>
    <row r="43" spans="1:4" x14ac:dyDescent="0.25">
      <c r="A43" s="1">
        <f t="shared" si="1"/>
        <v>46096</v>
      </c>
      <c r="B43" t="s">
        <v>75</v>
      </c>
      <c r="C43" s="18">
        <v>-2060.08</v>
      </c>
      <c r="D43" t="str">
        <f t="shared" ca="1" si="0"/>
        <v/>
      </c>
    </row>
    <row r="44" spans="1:4" x14ac:dyDescent="0.25">
      <c r="A44" s="1">
        <f t="shared" si="1"/>
        <v>46126</v>
      </c>
      <c r="B44" t="s">
        <v>76</v>
      </c>
      <c r="C44" s="18">
        <v>-2060.08</v>
      </c>
      <c r="D44" t="str">
        <f t="shared" ca="1" si="0"/>
        <v/>
      </c>
    </row>
    <row r="45" spans="1:4" x14ac:dyDescent="0.25">
      <c r="A45" s="1"/>
    </row>
    <row r="46" spans="1:4" x14ac:dyDescent="0.25">
      <c r="A46" s="1"/>
    </row>
    <row r="47" spans="1:4" x14ac:dyDescent="0.25">
      <c r="A47" s="1"/>
    </row>
  </sheetData>
  <conditionalFormatting sqref="A5:C5">
    <cfRule type="expression" dxfId="850" priority="7">
      <formula>$D5&lt;&gt;""</formula>
    </cfRule>
  </conditionalFormatting>
  <conditionalFormatting sqref="A6:C6">
    <cfRule type="expression" dxfId="849" priority="6">
      <formula>$D6&lt;&gt;""</formula>
    </cfRule>
  </conditionalFormatting>
  <conditionalFormatting sqref="A7:C8">
    <cfRule type="expression" dxfId="848" priority="5">
      <formula>$D7&lt;&gt;""</formula>
    </cfRule>
  </conditionalFormatting>
  <conditionalFormatting sqref="A9:C44">
    <cfRule type="expression" dxfId="847" priority="4">
      <formula>$D9&lt;&gt;""</formula>
    </cfRule>
  </conditionalFormatting>
  <conditionalFormatting sqref="B1:B3">
    <cfRule type="expression" dxfId="846" priority="3">
      <formula>$I45&lt;&gt;""</formula>
    </cfRule>
  </conditionalFormatting>
  <conditionalFormatting sqref="D5:D44">
    <cfRule type="expression" dxfId="845" priority="1">
      <formula>$D5&lt;&gt;""</formula>
    </cfRule>
  </conditionalFormatting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26"/>
  <sheetViews>
    <sheetView workbookViewId="0">
      <pane ySplit="3" topLeftCell="A4" activePane="bottomLeft" state="frozen"/>
      <selection pane="bottomLeft" activeCell="F7" sqref="F7"/>
    </sheetView>
  </sheetViews>
  <sheetFormatPr defaultRowHeight="15" x14ac:dyDescent="0.25"/>
  <cols>
    <col min="1" max="1" width="10.7109375" bestFit="1" customWidth="1"/>
    <col min="2" max="2" width="24.28515625" bestFit="1" customWidth="1"/>
    <col min="3" max="3" width="14" bestFit="1" customWidth="1"/>
    <col min="4" max="4" width="5.140625" bestFit="1" customWidth="1"/>
    <col min="6" max="6" width="10.7109375" bestFit="1" customWidth="1"/>
  </cols>
  <sheetData>
    <row r="1" spans="1:6" x14ac:dyDescent="0.25">
      <c r="B1" s="10" t="s">
        <v>33</v>
      </c>
      <c r="C1" s="17">
        <f>SUM(C5:C23)</f>
        <v>-52495.479999999981</v>
      </c>
    </row>
    <row r="2" spans="1:6" x14ac:dyDescent="0.25">
      <c r="B2" s="10" t="s">
        <v>34</v>
      </c>
      <c r="C2" s="17">
        <f ca="1">-SUMIFS(C5:C23, D5:D23, "x")</f>
        <v>52495.479999999981</v>
      </c>
    </row>
    <row r="3" spans="1:6" x14ac:dyDescent="0.25">
      <c r="B3" s="10" t="s">
        <v>35</v>
      </c>
      <c r="C3" s="17">
        <f ca="1">C1+C2</f>
        <v>0</v>
      </c>
    </row>
    <row r="4" spans="1:6" x14ac:dyDescent="0.25">
      <c r="A4" s="3" t="s">
        <v>0</v>
      </c>
      <c r="B4" s="2" t="s">
        <v>1</v>
      </c>
      <c r="C4" s="3" t="s">
        <v>2</v>
      </c>
      <c r="D4" t="s">
        <v>77</v>
      </c>
    </row>
    <row r="5" spans="1:6" x14ac:dyDescent="0.25">
      <c r="A5" s="1">
        <v>44804</v>
      </c>
      <c r="B5" t="s">
        <v>78</v>
      </c>
      <c r="C5" s="11">
        <v>-2762.92</v>
      </c>
      <c r="D5" t="str">
        <f t="shared" ref="D5:D23" ca="1" si="0">IF((TODAY()-30)&gt;A5,"x","")</f>
        <v>x</v>
      </c>
    </row>
    <row r="6" spans="1:6" x14ac:dyDescent="0.25">
      <c r="A6" s="1">
        <v>44834</v>
      </c>
      <c r="B6" t="s">
        <v>79</v>
      </c>
      <c r="C6" s="11">
        <v>-2762.92</v>
      </c>
      <c r="D6" t="str">
        <f t="shared" ca="1" si="0"/>
        <v>x</v>
      </c>
    </row>
    <row r="7" spans="1:6" x14ac:dyDescent="0.25">
      <c r="A7" s="1">
        <v>44865</v>
      </c>
      <c r="B7" t="s">
        <v>80</v>
      </c>
      <c r="C7" s="11">
        <v>-2762.92</v>
      </c>
      <c r="D7" t="str">
        <f t="shared" ca="1" si="0"/>
        <v>x</v>
      </c>
      <c r="F7" s="33"/>
    </row>
    <row r="8" spans="1:6" x14ac:dyDescent="0.25">
      <c r="A8" s="1">
        <v>44896</v>
      </c>
      <c r="B8" t="s">
        <v>81</v>
      </c>
      <c r="C8" s="11">
        <v>-2762.92</v>
      </c>
      <c r="D8" t="str">
        <f t="shared" ca="1" si="0"/>
        <v>x</v>
      </c>
    </row>
    <row r="9" spans="1:6" x14ac:dyDescent="0.25">
      <c r="A9" s="1">
        <v>44928</v>
      </c>
      <c r="B9" t="s">
        <v>82</v>
      </c>
      <c r="C9" s="11">
        <v>-2762.92</v>
      </c>
      <c r="D9" t="str">
        <f t="shared" ca="1" si="0"/>
        <v>x</v>
      </c>
    </row>
    <row r="10" spans="1:6" x14ac:dyDescent="0.25">
      <c r="A10" s="1">
        <v>44957</v>
      </c>
      <c r="B10" t="s">
        <v>83</v>
      </c>
      <c r="C10" s="11">
        <v>-2762.92</v>
      </c>
      <c r="D10" t="str">
        <f t="shared" ca="1" si="0"/>
        <v>x</v>
      </c>
    </row>
    <row r="11" spans="1:6" x14ac:dyDescent="0.25">
      <c r="A11" s="1">
        <v>44985</v>
      </c>
      <c r="B11" t="s">
        <v>84</v>
      </c>
      <c r="C11" s="11">
        <v>-2762.92</v>
      </c>
      <c r="D11" t="str">
        <f t="shared" ca="1" si="0"/>
        <v>x</v>
      </c>
    </row>
    <row r="12" spans="1:6" x14ac:dyDescent="0.25">
      <c r="A12" s="1">
        <v>45016</v>
      </c>
      <c r="B12" t="s">
        <v>85</v>
      </c>
      <c r="C12" s="11">
        <v>-2762.92</v>
      </c>
      <c r="D12" t="str">
        <f t="shared" ca="1" si="0"/>
        <v>x</v>
      </c>
    </row>
    <row r="13" spans="1:6" x14ac:dyDescent="0.25">
      <c r="A13" s="1">
        <v>45048</v>
      </c>
      <c r="B13" t="s">
        <v>86</v>
      </c>
      <c r="C13" s="11">
        <v>-2762.92</v>
      </c>
      <c r="D13" t="str">
        <f t="shared" ca="1" si="0"/>
        <v>x</v>
      </c>
    </row>
    <row r="14" spans="1:6" x14ac:dyDescent="0.25">
      <c r="A14" s="1">
        <v>45077</v>
      </c>
      <c r="B14" t="s">
        <v>87</v>
      </c>
      <c r="C14" s="11">
        <v>-2762.92</v>
      </c>
      <c r="D14" t="str">
        <f t="shared" ca="1" si="0"/>
        <v>x</v>
      </c>
    </row>
    <row r="15" spans="1:6" x14ac:dyDescent="0.25">
      <c r="A15" s="1">
        <f t="shared" ref="A15:A23" si="1">A14+30</f>
        <v>45107</v>
      </c>
      <c r="B15" t="s">
        <v>88</v>
      </c>
      <c r="C15" s="11">
        <v>-2762.92</v>
      </c>
      <c r="D15" t="str">
        <f t="shared" ca="1" si="0"/>
        <v>x</v>
      </c>
    </row>
    <row r="16" spans="1:6" x14ac:dyDescent="0.25">
      <c r="A16" s="1">
        <f t="shared" si="1"/>
        <v>45137</v>
      </c>
      <c r="B16" t="s">
        <v>89</v>
      </c>
      <c r="C16" s="11">
        <v>-2762.92</v>
      </c>
      <c r="D16" t="str">
        <f t="shared" ca="1" si="0"/>
        <v>x</v>
      </c>
    </row>
    <row r="17" spans="1:4" x14ac:dyDescent="0.25">
      <c r="A17" s="1">
        <f t="shared" si="1"/>
        <v>45167</v>
      </c>
      <c r="B17" t="s">
        <v>90</v>
      </c>
      <c r="C17" s="11">
        <v>-2762.92</v>
      </c>
      <c r="D17" t="str">
        <f t="shared" ca="1" si="0"/>
        <v>x</v>
      </c>
    </row>
    <row r="18" spans="1:4" x14ac:dyDescent="0.25">
      <c r="A18" s="1">
        <f t="shared" si="1"/>
        <v>45197</v>
      </c>
      <c r="B18" t="s">
        <v>91</v>
      </c>
      <c r="C18" s="11">
        <v>-2762.92</v>
      </c>
      <c r="D18" t="str">
        <f t="shared" ca="1" si="0"/>
        <v>x</v>
      </c>
    </row>
    <row r="19" spans="1:4" x14ac:dyDescent="0.25">
      <c r="A19" s="1">
        <f t="shared" si="1"/>
        <v>45227</v>
      </c>
      <c r="B19" t="s">
        <v>92</v>
      </c>
      <c r="C19" s="11">
        <v>-2762.92</v>
      </c>
      <c r="D19" t="str">
        <f t="shared" ca="1" si="0"/>
        <v>x</v>
      </c>
    </row>
    <row r="20" spans="1:4" x14ac:dyDescent="0.25">
      <c r="A20" s="1">
        <f t="shared" si="1"/>
        <v>45257</v>
      </c>
      <c r="B20" t="s">
        <v>93</v>
      </c>
      <c r="C20" s="11">
        <v>-2762.92</v>
      </c>
      <c r="D20" t="str">
        <f t="shared" ca="1" si="0"/>
        <v>x</v>
      </c>
    </row>
    <row r="21" spans="1:4" x14ac:dyDescent="0.25">
      <c r="A21" s="1">
        <f t="shared" si="1"/>
        <v>45287</v>
      </c>
      <c r="B21" t="s">
        <v>94</v>
      </c>
      <c r="C21" s="11">
        <v>-2762.92</v>
      </c>
      <c r="D21" t="str">
        <f t="shared" ca="1" si="0"/>
        <v>x</v>
      </c>
    </row>
    <row r="22" spans="1:4" x14ac:dyDescent="0.25">
      <c r="A22" s="1">
        <f t="shared" si="1"/>
        <v>45317</v>
      </c>
      <c r="B22" t="s">
        <v>95</v>
      </c>
      <c r="C22" s="11">
        <v>-2762.92</v>
      </c>
      <c r="D22" t="str">
        <f t="shared" ca="1" si="0"/>
        <v>x</v>
      </c>
    </row>
    <row r="23" spans="1:4" x14ac:dyDescent="0.25">
      <c r="A23" s="1">
        <f t="shared" si="1"/>
        <v>45347</v>
      </c>
      <c r="B23" t="s">
        <v>96</v>
      </c>
      <c r="C23" s="11">
        <v>-2762.92</v>
      </c>
      <c r="D23" t="str">
        <f t="shared" ca="1" si="0"/>
        <v>x</v>
      </c>
    </row>
    <row r="24" spans="1:4" x14ac:dyDescent="0.25">
      <c r="A24" s="4"/>
    </row>
    <row r="25" spans="1:4" x14ac:dyDescent="0.25">
      <c r="A25" s="4"/>
    </row>
    <row r="26" spans="1:4" x14ac:dyDescent="0.25">
      <c r="A26" s="1"/>
    </row>
  </sheetData>
  <conditionalFormatting sqref="A5:C5 D5:D23">
    <cfRule type="expression" dxfId="844" priority="3">
      <formula>$D5&lt;&gt;""</formula>
    </cfRule>
  </conditionalFormatting>
  <conditionalFormatting sqref="A6:C23">
    <cfRule type="expression" dxfId="843" priority="2">
      <formula>$D6&lt;&gt;""</formula>
    </cfRule>
  </conditionalFormatting>
  <conditionalFormatting sqref="B1:B3">
    <cfRule type="expression" dxfId="842" priority="1">
      <formula>$I45&lt;&gt;""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48"/>
  <sheetViews>
    <sheetView topLeftCell="A24" zoomScale="80" zoomScaleNormal="80" workbookViewId="0">
      <selection activeCell="F52" sqref="F52"/>
    </sheetView>
  </sheetViews>
  <sheetFormatPr defaultRowHeight="15" x14ac:dyDescent="0.25"/>
  <cols>
    <col min="1" max="1" width="10.42578125" style="4" customWidth="1"/>
    <col min="2" max="2" width="27.28515625" bestFit="1" customWidth="1"/>
    <col min="3" max="3" width="13.5703125" style="5" bestFit="1" customWidth="1"/>
    <col min="4" max="4" width="3.7109375" customWidth="1"/>
    <col min="5" max="5" width="9.42578125" bestFit="1" customWidth="1"/>
    <col min="6" max="6" width="26.28515625" bestFit="1" customWidth="1"/>
    <col min="7" max="7" width="13.5703125" bestFit="1" customWidth="1"/>
    <col min="8" max="8" width="3.7109375" customWidth="1"/>
    <col min="9" max="9" width="9.42578125" bestFit="1" customWidth="1"/>
    <col min="10" max="10" width="26.28515625" bestFit="1" customWidth="1"/>
    <col min="11" max="11" width="13.5703125" bestFit="1" customWidth="1"/>
    <col min="12" max="12" width="3.7109375" customWidth="1"/>
    <col min="13" max="13" width="9.42578125" bestFit="1" customWidth="1"/>
    <col min="14" max="14" width="26.28515625" bestFit="1" customWidth="1"/>
    <col min="15" max="15" width="13.5703125" bestFit="1" customWidth="1"/>
  </cols>
  <sheetData>
    <row r="1" spans="1:15" ht="21" customHeight="1" x14ac:dyDescent="0.35">
      <c r="A1" s="109" t="str">
        <f>UPPER(TEXT(A3,"mmmm"))</f>
        <v>JANEIRO</v>
      </c>
      <c r="B1" s="110"/>
      <c r="C1" s="111"/>
      <c r="D1" s="31"/>
      <c r="E1" s="109" t="str">
        <f>UPPER(TEXT(E3,"mmmm"))</f>
        <v>FEVEREIRO</v>
      </c>
      <c r="F1" s="110"/>
      <c r="G1" s="110"/>
      <c r="H1" s="31"/>
      <c r="I1" s="109" t="str">
        <f>UPPER(TEXT(I3,"mmmm"))</f>
        <v>MARÇO</v>
      </c>
      <c r="J1" s="110"/>
      <c r="K1" s="110"/>
      <c r="L1" s="31"/>
      <c r="M1" s="109" t="str">
        <f>UPPER(TEXT(M3,"mmmm"))</f>
        <v>ABRIL</v>
      </c>
      <c r="N1" s="110"/>
      <c r="O1" s="110"/>
    </row>
    <row r="2" spans="1:15" x14ac:dyDescent="0.25">
      <c r="A2" s="12" t="s">
        <v>97</v>
      </c>
      <c r="B2" s="3" t="s">
        <v>98</v>
      </c>
      <c r="C2" s="13" t="s">
        <v>99</v>
      </c>
      <c r="E2" s="12" t="s">
        <v>97</v>
      </c>
      <c r="F2" s="3" t="s">
        <v>98</v>
      </c>
      <c r="G2" s="13" t="s">
        <v>99</v>
      </c>
      <c r="I2" s="12" t="s">
        <v>97</v>
      </c>
      <c r="J2" s="3" t="s">
        <v>98</v>
      </c>
      <c r="K2" s="13" t="s">
        <v>99</v>
      </c>
      <c r="M2" s="12" t="s">
        <v>97</v>
      </c>
      <c r="N2" s="3" t="s">
        <v>98</v>
      </c>
      <c r="O2" s="13" t="s">
        <v>99</v>
      </c>
    </row>
    <row r="3" spans="1:15" x14ac:dyDescent="0.25">
      <c r="A3" s="14">
        <v>44957</v>
      </c>
      <c r="B3" s="9" t="s">
        <v>83</v>
      </c>
      <c r="C3" s="21">
        <v>-2762.92</v>
      </c>
      <c r="E3" s="14">
        <v>44985</v>
      </c>
      <c r="F3" s="9" t="s">
        <v>84</v>
      </c>
      <c r="G3" s="21">
        <v>-2762.92</v>
      </c>
      <c r="I3" s="14">
        <v>45016</v>
      </c>
      <c r="J3" s="9" t="s">
        <v>85</v>
      </c>
      <c r="K3" s="21">
        <v>-2762.92</v>
      </c>
      <c r="M3" s="14">
        <v>45018</v>
      </c>
      <c r="N3" s="9" t="s">
        <v>86</v>
      </c>
      <c r="O3" s="21">
        <v>-2762.92</v>
      </c>
    </row>
    <row r="4" spans="1:15" x14ac:dyDescent="0.25">
      <c r="A4" s="14">
        <v>44956</v>
      </c>
      <c r="B4" s="9" t="s">
        <v>37</v>
      </c>
      <c r="C4" s="21">
        <v>-2060.08</v>
      </c>
      <c r="E4" s="14">
        <v>44985</v>
      </c>
      <c r="F4" s="9" t="s">
        <v>38</v>
      </c>
      <c r="G4" s="21">
        <v>-2060.08</v>
      </c>
      <c r="I4" s="14">
        <v>45015</v>
      </c>
      <c r="J4" s="9" t="s">
        <v>39</v>
      </c>
      <c r="K4" s="21">
        <v>-2060.08</v>
      </c>
      <c r="M4" s="14">
        <v>45048</v>
      </c>
      <c r="N4" s="9" t="s">
        <v>40</v>
      </c>
      <c r="O4" s="21">
        <v>-2060.08</v>
      </c>
    </row>
    <row r="5" spans="1:15" x14ac:dyDescent="0.25">
      <c r="A5" s="14"/>
      <c r="B5" s="9"/>
      <c r="C5" s="21"/>
      <c r="E5" s="14"/>
      <c r="F5" s="9"/>
      <c r="G5" s="21"/>
      <c r="I5" s="14"/>
      <c r="J5" s="9"/>
      <c r="K5" s="21"/>
      <c r="M5" s="14"/>
      <c r="N5" s="9"/>
      <c r="O5" s="21"/>
    </row>
    <row r="6" spans="1:15" x14ac:dyDescent="0.25">
      <c r="A6" s="14"/>
      <c r="B6" s="9"/>
      <c r="C6" s="21"/>
      <c r="E6" s="14"/>
      <c r="F6" s="9"/>
      <c r="G6" s="21"/>
      <c r="I6" s="14"/>
      <c r="J6" s="9"/>
      <c r="K6" s="21"/>
      <c r="M6" s="14"/>
      <c r="N6" s="9"/>
      <c r="O6" s="21"/>
    </row>
    <row r="7" spans="1:15" x14ac:dyDescent="0.25">
      <c r="A7" s="14"/>
      <c r="B7" s="9"/>
      <c r="C7" s="21"/>
      <c r="E7" s="14"/>
      <c r="F7" s="9"/>
      <c r="G7" s="21"/>
      <c r="I7" s="14"/>
      <c r="J7" s="9"/>
      <c r="K7" s="21"/>
      <c r="M7" s="14"/>
      <c r="N7" s="9"/>
      <c r="O7" s="21"/>
    </row>
    <row r="8" spans="1:15" x14ac:dyDescent="0.25">
      <c r="A8" s="14"/>
      <c r="B8" s="9"/>
      <c r="C8" s="21"/>
      <c r="E8" s="14"/>
      <c r="F8" s="9"/>
      <c r="G8" s="21"/>
      <c r="I8" s="14"/>
      <c r="J8" s="9"/>
      <c r="K8" s="21"/>
      <c r="M8" s="14"/>
      <c r="N8" s="9"/>
      <c r="O8" s="21"/>
    </row>
    <row r="9" spans="1:15" x14ac:dyDescent="0.25">
      <c r="A9" s="14"/>
      <c r="B9" s="9"/>
      <c r="C9" s="21"/>
      <c r="E9" s="14"/>
      <c r="F9" s="9"/>
      <c r="G9" s="21"/>
      <c r="I9" s="14"/>
      <c r="J9" s="9"/>
      <c r="K9" s="21"/>
      <c r="M9" s="14"/>
      <c r="N9" s="9"/>
      <c r="O9" s="21"/>
    </row>
    <row r="10" spans="1:15" x14ac:dyDescent="0.25">
      <c r="A10" s="14"/>
      <c r="B10" s="9"/>
      <c r="C10" s="21"/>
      <c r="E10" s="14"/>
      <c r="F10" s="9"/>
      <c r="G10" s="21"/>
      <c r="I10" s="14"/>
      <c r="J10" s="9"/>
      <c r="K10" s="21"/>
      <c r="M10" s="14"/>
      <c r="N10" s="9"/>
      <c r="O10" s="21"/>
    </row>
    <row r="11" spans="1:15" x14ac:dyDescent="0.25">
      <c r="A11" s="14"/>
      <c r="B11" s="9"/>
      <c r="C11" s="21"/>
      <c r="E11" s="14"/>
      <c r="F11" s="9"/>
      <c r="G11" s="21"/>
      <c r="I11" s="14"/>
      <c r="J11" s="9"/>
      <c r="K11" s="21"/>
      <c r="M11" s="14"/>
      <c r="N11" s="9"/>
      <c r="O11" s="21"/>
    </row>
    <row r="12" spans="1:15" x14ac:dyDescent="0.25">
      <c r="A12" s="14"/>
      <c r="B12" s="9"/>
      <c r="C12" s="21"/>
      <c r="E12" s="14"/>
      <c r="F12" s="9"/>
      <c r="G12" s="21"/>
      <c r="I12" s="14"/>
      <c r="J12" s="9"/>
      <c r="K12" s="21"/>
      <c r="M12" s="14"/>
      <c r="N12" s="9"/>
      <c r="O12" s="21"/>
    </row>
    <row r="13" spans="1:15" x14ac:dyDescent="0.25">
      <c r="A13" s="16"/>
      <c r="C13" s="19"/>
      <c r="E13" s="16"/>
      <c r="G13" s="19"/>
      <c r="I13" s="16"/>
      <c r="K13" s="19"/>
      <c r="M13" s="16"/>
      <c r="O13" s="19"/>
    </row>
    <row r="14" spans="1:15" ht="15.75" customHeight="1" x14ac:dyDescent="0.25">
      <c r="A14" s="16"/>
      <c r="B14" s="8" t="s">
        <v>100</v>
      </c>
      <c r="C14" s="22">
        <f>SUM(C3:C12)</f>
        <v>-4823</v>
      </c>
      <c r="E14" s="16"/>
      <c r="F14" s="8" t="s">
        <v>101</v>
      </c>
      <c r="G14" s="22">
        <f>SUM(G3:G12)</f>
        <v>-4823</v>
      </c>
      <c r="I14" s="16"/>
      <c r="J14" s="8" t="s">
        <v>102</v>
      </c>
      <c r="K14" s="22">
        <f>SUM(K3:K12)</f>
        <v>-4823</v>
      </c>
      <c r="M14" s="16"/>
      <c r="N14" s="8" t="s">
        <v>103</v>
      </c>
      <c r="O14" s="22">
        <f>SUM(O3:O12)</f>
        <v>-4823</v>
      </c>
    </row>
    <row r="15" spans="1:15" ht="15.75" customHeight="1" x14ac:dyDescent="0.25">
      <c r="A15" s="16"/>
      <c r="C15" s="23"/>
      <c r="E15" s="16"/>
      <c r="G15" s="23"/>
      <c r="I15" s="16"/>
      <c r="K15" s="23"/>
      <c r="M15" s="16"/>
      <c r="O15" s="23"/>
    </row>
    <row r="16" spans="1:15" x14ac:dyDescent="0.25">
      <c r="A16" s="15">
        <v>44959</v>
      </c>
      <c r="B16" s="7" t="s">
        <v>18</v>
      </c>
      <c r="C16" s="20">
        <v>4000</v>
      </c>
      <c r="E16" s="15">
        <v>44986</v>
      </c>
      <c r="F16" s="7" t="s">
        <v>20</v>
      </c>
      <c r="G16" s="20">
        <v>2000</v>
      </c>
      <c r="I16" s="15">
        <v>45020</v>
      </c>
      <c r="J16" s="7" t="s">
        <v>23</v>
      </c>
      <c r="K16" s="20">
        <v>2000</v>
      </c>
      <c r="M16" s="15">
        <v>45049</v>
      </c>
      <c r="N16" s="7" t="s">
        <v>27</v>
      </c>
      <c r="O16" s="20">
        <v>1500</v>
      </c>
    </row>
    <row r="17" spans="1:15" x14ac:dyDescent="0.25">
      <c r="A17" s="15">
        <v>44963</v>
      </c>
      <c r="B17" s="7" t="s">
        <v>19</v>
      </c>
      <c r="C17" s="20">
        <v>2000</v>
      </c>
      <c r="E17" s="15">
        <v>44987</v>
      </c>
      <c r="F17" s="7" t="s">
        <v>21</v>
      </c>
      <c r="G17" s="20">
        <v>2000</v>
      </c>
      <c r="I17" s="15">
        <v>45026</v>
      </c>
      <c r="J17" s="7" t="s">
        <v>24</v>
      </c>
      <c r="K17" s="20">
        <v>1200</v>
      </c>
      <c r="M17" s="15">
        <v>45054</v>
      </c>
      <c r="N17" s="7" t="s">
        <v>28</v>
      </c>
      <c r="O17" s="20">
        <v>1000</v>
      </c>
    </row>
    <row r="18" spans="1:15" x14ac:dyDescent="0.25">
      <c r="A18" s="15"/>
      <c r="B18" s="7"/>
      <c r="C18" s="20"/>
      <c r="E18" s="15">
        <v>44993</v>
      </c>
      <c r="F18" s="7" t="s">
        <v>22</v>
      </c>
      <c r="G18" s="20">
        <v>1500</v>
      </c>
      <c r="I18" s="15">
        <v>45026</v>
      </c>
      <c r="J18" s="7" t="s">
        <v>25</v>
      </c>
      <c r="K18" s="20">
        <v>1230</v>
      </c>
      <c r="M18" s="15">
        <v>45055</v>
      </c>
      <c r="N18" s="7" t="s">
        <v>29</v>
      </c>
      <c r="O18" s="20">
        <v>500</v>
      </c>
    </row>
    <row r="19" spans="1:15" x14ac:dyDescent="0.25">
      <c r="A19" s="15"/>
      <c r="B19" s="7"/>
      <c r="C19" s="20"/>
      <c r="E19" s="15"/>
      <c r="F19" s="7"/>
      <c r="G19" s="20"/>
      <c r="I19" s="15">
        <v>45027</v>
      </c>
      <c r="J19" s="7" t="s">
        <v>26</v>
      </c>
      <c r="K19" s="20">
        <v>1000</v>
      </c>
      <c r="M19" s="15">
        <v>45055</v>
      </c>
      <c r="N19" s="7" t="s">
        <v>30</v>
      </c>
      <c r="O19" s="20">
        <v>500</v>
      </c>
    </row>
    <row r="20" spans="1:15" x14ac:dyDescent="0.25">
      <c r="A20" s="15"/>
      <c r="B20" s="7"/>
      <c r="C20" s="20"/>
      <c r="E20" s="15"/>
      <c r="F20" s="7"/>
      <c r="G20" s="20"/>
      <c r="I20" s="15"/>
      <c r="J20" s="7"/>
      <c r="K20" s="20"/>
      <c r="M20" s="15">
        <v>45055</v>
      </c>
      <c r="N20" s="7" t="s">
        <v>30</v>
      </c>
      <c r="O20" s="20">
        <v>1500</v>
      </c>
    </row>
    <row r="21" spans="1:15" x14ac:dyDescent="0.25">
      <c r="A21" s="16"/>
      <c r="C21" s="19"/>
      <c r="E21" s="16"/>
      <c r="G21" s="19"/>
      <c r="I21" s="16"/>
      <c r="K21" s="19"/>
      <c r="M21" s="16"/>
      <c r="O21" s="19"/>
    </row>
    <row r="22" spans="1:15" ht="15.75" customHeight="1" x14ac:dyDescent="0.25">
      <c r="A22" s="16"/>
      <c r="B22" s="7" t="s">
        <v>104</v>
      </c>
      <c r="C22" s="24">
        <f>SUM(C16:C20)</f>
        <v>6000</v>
      </c>
      <c r="E22" s="16"/>
      <c r="F22" s="7" t="s">
        <v>104</v>
      </c>
      <c r="G22" s="24">
        <f>SUM(G16:G20)</f>
        <v>5500</v>
      </c>
      <c r="I22" s="16"/>
      <c r="J22" s="7" t="s">
        <v>104</v>
      </c>
      <c r="K22" s="24">
        <f>SUM(K16:K20)</f>
        <v>5430</v>
      </c>
      <c r="M22" s="16"/>
      <c r="N22" s="7" t="s">
        <v>104</v>
      </c>
      <c r="O22" s="24">
        <f>SUM(O16:O20)</f>
        <v>5000</v>
      </c>
    </row>
    <row r="23" spans="1:15" ht="15.75" customHeight="1" x14ac:dyDescent="0.25">
      <c r="A23" s="16"/>
      <c r="C23" s="23"/>
      <c r="E23" s="16"/>
      <c r="G23" s="23"/>
      <c r="I23" s="16"/>
      <c r="K23" s="23"/>
      <c r="M23" s="16"/>
      <c r="O23" s="23"/>
    </row>
    <row r="24" spans="1:15" ht="15.75" customHeight="1" x14ac:dyDescent="0.25">
      <c r="A24" s="16"/>
      <c r="B24" s="6" t="s">
        <v>105</v>
      </c>
      <c r="C24" s="25">
        <f>C14+C22</f>
        <v>1177</v>
      </c>
      <c r="E24" s="16"/>
      <c r="F24" s="6" t="s">
        <v>106</v>
      </c>
      <c r="G24" s="25">
        <f>G14+G22</f>
        <v>677</v>
      </c>
      <c r="I24" s="16"/>
      <c r="J24" s="6" t="s">
        <v>107</v>
      </c>
      <c r="K24" s="25">
        <f>K14+K22</f>
        <v>607</v>
      </c>
      <c r="M24" s="16"/>
      <c r="N24" s="6" t="s">
        <v>108</v>
      </c>
      <c r="O24" s="25">
        <f>O14+O22</f>
        <v>177</v>
      </c>
    </row>
    <row r="25" spans="1:15" x14ac:dyDescent="0.25">
      <c r="A25" s="16"/>
    </row>
    <row r="26" spans="1:15" x14ac:dyDescent="0.25">
      <c r="A26" s="16"/>
    </row>
    <row r="27" spans="1:15" s="2" customFormat="1" ht="20.25" customHeight="1" x14ac:dyDescent="0.3">
      <c r="A27" s="112" t="str">
        <f>UPPER(TEXT(A29,"mmmm")&amp;" "&amp;TEXT(A29,"aaaa"))</f>
        <v>JANEIRO 2023</v>
      </c>
      <c r="B27" s="113"/>
      <c r="C27" s="113"/>
      <c r="D27" s="61"/>
      <c r="E27" s="112" t="str">
        <f>UPPER(TEXT(E29,"mmmm")&amp;" "&amp;TEXT(E29,"aaaa"))</f>
        <v>FEVEREIRO 2023</v>
      </c>
      <c r="F27" s="113"/>
      <c r="G27" s="113"/>
      <c r="H27" s="61"/>
      <c r="I27" s="112" t="str">
        <f>UPPER(TEXT(I29,"mmmm")&amp;" "&amp;TEXT(I29,"aaaa"))</f>
        <v>MARÇO 2023</v>
      </c>
      <c r="J27" s="113"/>
      <c r="K27" s="113"/>
      <c r="L27" s="61"/>
      <c r="M27" s="112" t="str">
        <f>UPPER(TEXT(M29,"mmmm")&amp;" "&amp;TEXT(M29,"aaaa"))</f>
        <v>ABRIL 2023</v>
      </c>
      <c r="N27" s="113"/>
      <c r="O27" s="113"/>
    </row>
    <row r="28" spans="1:15" s="2" customFormat="1" x14ac:dyDescent="0.25">
      <c r="A28" s="47" t="s">
        <v>97</v>
      </c>
      <c r="B28" s="48" t="s">
        <v>98</v>
      </c>
      <c r="C28" s="49" t="s">
        <v>99</v>
      </c>
      <c r="D28" s="61"/>
      <c r="E28" s="47" t="s">
        <v>97</v>
      </c>
      <c r="F28" s="48" t="s">
        <v>98</v>
      </c>
      <c r="G28" s="49" t="s">
        <v>99</v>
      </c>
      <c r="H28" s="61"/>
      <c r="I28" s="47" t="s">
        <v>97</v>
      </c>
      <c r="J28" s="48" t="s">
        <v>98</v>
      </c>
      <c r="K28" s="49" t="s">
        <v>99</v>
      </c>
      <c r="L28" s="61"/>
      <c r="M28" s="47" t="s">
        <v>97</v>
      </c>
      <c r="N28" s="48" t="s">
        <v>98</v>
      </c>
      <c r="O28" s="49" t="s">
        <v>99</v>
      </c>
    </row>
    <row r="29" spans="1:15" s="2" customFormat="1" x14ac:dyDescent="0.25">
      <c r="A29" s="66">
        <v>44957</v>
      </c>
      <c r="B29" s="67" t="s">
        <v>83</v>
      </c>
      <c r="C29" s="32">
        <v>-2762.92</v>
      </c>
      <c r="D29" s="61"/>
      <c r="E29" s="66">
        <v>44985</v>
      </c>
      <c r="F29" s="67" t="s">
        <v>84</v>
      </c>
      <c r="G29" s="32">
        <v>-2762.92</v>
      </c>
      <c r="H29" s="61"/>
      <c r="I29" s="66">
        <v>45016</v>
      </c>
      <c r="J29" s="67" t="s">
        <v>85</v>
      </c>
      <c r="K29" s="32">
        <v>-2762.92</v>
      </c>
      <c r="L29" s="61"/>
      <c r="M29" s="66">
        <v>45018</v>
      </c>
      <c r="N29" s="67" t="s">
        <v>86</v>
      </c>
      <c r="O29" s="32">
        <v>-2762.92</v>
      </c>
    </row>
    <row r="30" spans="1:15" s="2" customFormat="1" x14ac:dyDescent="0.25">
      <c r="A30" s="66">
        <v>44956</v>
      </c>
      <c r="B30" s="67" t="s">
        <v>37</v>
      </c>
      <c r="C30" s="32">
        <v>-2060.08</v>
      </c>
      <c r="D30" s="61"/>
      <c r="E30" s="66">
        <v>44985</v>
      </c>
      <c r="F30" s="67" t="s">
        <v>38</v>
      </c>
      <c r="G30" s="32">
        <v>-2060.08</v>
      </c>
      <c r="H30" s="61"/>
      <c r="I30" s="66">
        <v>45015</v>
      </c>
      <c r="J30" s="67" t="s">
        <v>39</v>
      </c>
      <c r="K30" s="32">
        <v>-2060.08</v>
      </c>
      <c r="L30" s="61"/>
      <c r="M30" s="66">
        <v>45048</v>
      </c>
      <c r="N30" s="67" t="s">
        <v>40</v>
      </c>
      <c r="O30" s="32">
        <v>-2060.08</v>
      </c>
    </row>
    <row r="31" spans="1:15" s="2" customFormat="1" x14ac:dyDescent="0.25">
      <c r="A31" s="66"/>
      <c r="B31" s="67"/>
      <c r="C31" s="32"/>
      <c r="D31" s="61"/>
      <c r="E31" s="66"/>
      <c r="F31" s="67"/>
      <c r="G31" s="32"/>
      <c r="H31" s="61"/>
      <c r="I31" s="66"/>
      <c r="J31" s="67"/>
      <c r="K31" s="32"/>
      <c r="L31" s="61"/>
      <c r="M31" s="66"/>
      <c r="N31" s="67"/>
      <c r="O31" s="32"/>
    </row>
    <row r="32" spans="1:15" s="2" customFormat="1" x14ac:dyDescent="0.25">
      <c r="A32" s="66"/>
      <c r="B32" s="67"/>
      <c r="C32" s="32"/>
      <c r="D32" s="61"/>
      <c r="E32" s="66"/>
      <c r="F32" s="67"/>
      <c r="G32" s="32"/>
      <c r="H32" s="61"/>
      <c r="I32" s="66"/>
      <c r="J32" s="67"/>
      <c r="K32" s="32"/>
      <c r="L32" s="61"/>
      <c r="M32" s="66"/>
      <c r="N32" s="67"/>
      <c r="O32" s="32"/>
    </row>
    <row r="33" spans="1:15" s="2" customFormat="1" x14ac:dyDescent="0.25">
      <c r="A33" s="66"/>
      <c r="B33" s="67"/>
      <c r="C33" s="32"/>
      <c r="D33" s="61"/>
      <c r="E33" s="66"/>
      <c r="F33" s="67"/>
      <c r="G33" s="32"/>
      <c r="H33" s="61"/>
      <c r="I33" s="66"/>
      <c r="J33" s="67"/>
      <c r="K33" s="32"/>
      <c r="L33" s="61"/>
      <c r="M33" s="66"/>
      <c r="N33" s="67"/>
      <c r="O33" s="32"/>
    </row>
    <row r="34" spans="1:15" s="2" customFormat="1" x14ac:dyDescent="0.25">
      <c r="A34" s="66"/>
      <c r="B34" s="67"/>
      <c r="C34" s="32"/>
      <c r="D34" s="61"/>
      <c r="E34" s="66"/>
      <c r="F34" s="67"/>
      <c r="G34" s="32"/>
      <c r="H34" s="61"/>
      <c r="I34" s="66"/>
      <c r="J34" s="67"/>
      <c r="K34" s="32"/>
      <c r="L34" s="61"/>
      <c r="M34" s="66"/>
      <c r="N34" s="67"/>
      <c r="O34" s="32"/>
    </row>
    <row r="35" spans="1:15" s="2" customFormat="1" ht="3" customHeight="1" x14ac:dyDescent="0.25">
      <c r="A35" s="47"/>
      <c r="B35" s="61"/>
      <c r="C35" s="42"/>
      <c r="D35" s="61"/>
      <c r="E35" s="47"/>
      <c r="F35" s="61"/>
      <c r="G35" s="42"/>
      <c r="H35" s="61"/>
      <c r="I35" s="47"/>
      <c r="J35" s="61"/>
      <c r="K35" s="42"/>
      <c r="L35" s="61"/>
      <c r="M35" s="47"/>
      <c r="N35" s="61"/>
      <c r="O35" s="42"/>
    </row>
    <row r="36" spans="1:15" s="2" customFormat="1" ht="15.75" customHeight="1" x14ac:dyDescent="0.25">
      <c r="A36" s="68" t="s">
        <v>109</v>
      </c>
      <c r="B36" s="69">
        <f>A29</f>
        <v>44957</v>
      </c>
      <c r="C36" s="52">
        <f>SUM(C29:C34)</f>
        <v>-4823</v>
      </c>
      <c r="D36" s="45"/>
      <c r="E36" s="68" t="s">
        <v>109</v>
      </c>
      <c r="F36" s="69">
        <f>E29</f>
        <v>44985</v>
      </c>
      <c r="G36" s="52">
        <f>SUM(G29:G34)</f>
        <v>-4823</v>
      </c>
      <c r="H36" s="45"/>
      <c r="I36" s="68" t="s">
        <v>109</v>
      </c>
      <c r="J36" s="69">
        <f>I29</f>
        <v>45016</v>
      </c>
      <c r="K36" s="52">
        <f>SUM(K29:K34)</f>
        <v>-4823</v>
      </c>
      <c r="L36" s="45"/>
      <c r="M36" s="68" t="s">
        <v>109</v>
      </c>
      <c r="N36" s="69">
        <f>M29</f>
        <v>45018</v>
      </c>
      <c r="O36" s="52">
        <f>SUM(O29:O34)</f>
        <v>-4823</v>
      </c>
    </row>
    <row r="37" spans="1:15" s="2" customFormat="1" ht="3" customHeight="1" x14ac:dyDescent="0.25">
      <c r="A37" s="48"/>
      <c r="B37" s="61"/>
      <c r="C37" s="43"/>
      <c r="D37" s="61"/>
      <c r="E37" s="48"/>
      <c r="F37" s="61"/>
      <c r="G37" s="43"/>
      <c r="H37" s="61"/>
      <c r="I37" s="48"/>
      <c r="J37" s="61"/>
      <c r="K37" s="43"/>
      <c r="L37" s="61"/>
      <c r="M37" s="48"/>
      <c r="N37" s="61"/>
      <c r="O37" s="43"/>
    </row>
    <row r="38" spans="1:15" s="2" customFormat="1" x14ac:dyDescent="0.25">
      <c r="A38" s="78">
        <v>44959</v>
      </c>
      <c r="B38" s="79" t="s">
        <v>18</v>
      </c>
      <c r="C38" s="80">
        <v>4000</v>
      </c>
      <c r="D38" s="61"/>
      <c r="E38" s="78">
        <v>44986</v>
      </c>
      <c r="F38" s="79" t="s">
        <v>20</v>
      </c>
      <c r="G38" s="80">
        <v>2000</v>
      </c>
      <c r="H38" s="61"/>
      <c r="I38" s="78">
        <v>45020</v>
      </c>
      <c r="J38" s="79" t="s">
        <v>23</v>
      </c>
      <c r="K38" s="80">
        <v>2000</v>
      </c>
      <c r="L38" s="61"/>
      <c r="M38" s="78">
        <v>45049</v>
      </c>
      <c r="N38" s="79" t="s">
        <v>27</v>
      </c>
      <c r="O38" s="80">
        <v>1500</v>
      </c>
    </row>
    <row r="39" spans="1:15" s="2" customFormat="1" x14ac:dyDescent="0.25">
      <c r="A39" s="78">
        <v>44963</v>
      </c>
      <c r="B39" s="79" t="s">
        <v>19</v>
      </c>
      <c r="C39" s="80">
        <v>2000</v>
      </c>
      <c r="D39" s="61"/>
      <c r="E39" s="78">
        <v>44987</v>
      </c>
      <c r="F39" s="79" t="s">
        <v>21</v>
      </c>
      <c r="G39" s="80">
        <v>2000</v>
      </c>
      <c r="H39" s="61"/>
      <c r="I39" s="78">
        <v>45026</v>
      </c>
      <c r="J39" s="79" t="s">
        <v>24</v>
      </c>
      <c r="K39" s="80">
        <v>1200</v>
      </c>
      <c r="L39" s="61"/>
      <c r="M39" s="78">
        <v>45054</v>
      </c>
      <c r="N39" s="79" t="s">
        <v>28</v>
      </c>
      <c r="O39" s="80">
        <v>1000</v>
      </c>
    </row>
    <row r="40" spans="1:15" s="2" customFormat="1" x14ac:dyDescent="0.25">
      <c r="A40" s="78"/>
      <c r="B40" s="79"/>
      <c r="C40" s="80"/>
      <c r="D40" s="61"/>
      <c r="E40" s="78">
        <v>44993</v>
      </c>
      <c r="F40" s="79" t="s">
        <v>22</v>
      </c>
      <c r="G40" s="80">
        <v>1500</v>
      </c>
      <c r="H40" s="61"/>
      <c r="I40" s="78">
        <v>45026</v>
      </c>
      <c r="J40" s="79" t="s">
        <v>25</v>
      </c>
      <c r="K40" s="80">
        <v>1230</v>
      </c>
      <c r="L40" s="61"/>
      <c r="M40" s="78">
        <v>45055</v>
      </c>
      <c r="N40" s="79" t="s">
        <v>29</v>
      </c>
      <c r="O40" s="80">
        <v>500</v>
      </c>
    </row>
    <row r="41" spans="1:15" s="2" customFormat="1" x14ac:dyDescent="0.25">
      <c r="A41" s="78"/>
      <c r="B41" s="79"/>
      <c r="C41" s="80"/>
      <c r="D41" s="61"/>
      <c r="E41" s="78"/>
      <c r="F41" s="79"/>
      <c r="G41" s="80"/>
      <c r="H41" s="61"/>
      <c r="I41" s="78">
        <v>45027</v>
      </c>
      <c r="J41" s="79" t="s">
        <v>26</v>
      </c>
      <c r="K41" s="80">
        <v>1000</v>
      </c>
      <c r="L41" s="61"/>
      <c r="M41" s="78">
        <v>45055</v>
      </c>
      <c r="N41" s="79" t="s">
        <v>30</v>
      </c>
      <c r="O41" s="80">
        <v>500</v>
      </c>
    </row>
    <row r="42" spans="1:15" s="2" customFormat="1" x14ac:dyDescent="0.25">
      <c r="A42" s="78"/>
      <c r="B42" s="79"/>
      <c r="C42" s="80"/>
      <c r="D42" s="61"/>
      <c r="E42" s="78"/>
      <c r="F42" s="79"/>
      <c r="G42" s="80"/>
      <c r="H42" s="61"/>
      <c r="I42" s="78"/>
      <c r="J42" s="79"/>
      <c r="K42" s="80"/>
      <c r="L42" s="61"/>
      <c r="M42" s="78">
        <v>45055</v>
      </c>
      <c r="N42" s="79" t="s">
        <v>30</v>
      </c>
      <c r="O42" s="80">
        <v>1500</v>
      </c>
    </row>
    <row r="43" spans="1:15" s="2" customFormat="1" ht="3" customHeight="1" x14ac:dyDescent="0.25">
      <c r="A43" s="47"/>
      <c r="B43" s="61"/>
      <c r="C43" s="42"/>
      <c r="D43" s="61"/>
      <c r="E43" s="47"/>
      <c r="F43" s="61"/>
      <c r="G43" s="42"/>
      <c r="H43" s="61"/>
      <c r="I43" s="47"/>
      <c r="J43" s="61"/>
      <c r="K43" s="42"/>
      <c r="L43" s="61"/>
      <c r="M43" s="47"/>
      <c r="N43" s="61"/>
      <c r="O43" s="42"/>
    </row>
    <row r="44" spans="1:15" s="2" customFormat="1" ht="15.75" customHeight="1" x14ac:dyDescent="0.25">
      <c r="A44" s="74" t="s">
        <v>3</v>
      </c>
      <c r="B44" s="73" t="s">
        <v>110</v>
      </c>
      <c r="C44" s="57">
        <f>SUM(C38:C42)</f>
        <v>6000</v>
      </c>
      <c r="D44" s="61"/>
      <c r="E44" s="74" t="s">
        <v>3</v>
      </c>
      <c r="F44" s="73" t="s">
        <v>110</v>
      </c>
      <c r="G44" s="57">
        <f>SUM(G38:G42)</f>
        <v>5500</v>
      </c>
      <c r="H44" s="61"/>
      <c r="I44" s="74" t="s">
        <v>3</v>
      </c>
      <c r="J44" s="73" t="s">
        <v>110</v>
      </c>
      <c r="K44" s="57">
        <f>SUM(K38:K42)</f>
        <v>5430</v>
      </c>
      <c r="L44" s="61"/>
      <c r="M44" s="74" t="s">
        <v>3</v>
      </c>
      <c r="N44" s="73" t="s">
        <v>110</v>
      </c>
      <c r="O44" s="57">
        <f>SUM(O38:O42)</f>
        <v>5000</v>
      </c>
    </row>
    <row r="45" spans="1:15" s="2" customFormat="1" ht="3" customHeight="1" x14ac:dyDescent="0.25">
      <c r="A45" s="47"/>
      <c r="B45" s="61"/>
      <c r="C45" s="60"/>
      <c r="D45" s="61"/>
      <c r="E45" s="47"/>
      <c r="F45" s="61"/>
      <c r="G45" s="60"/>
      <c r="H45" s="61"/>
      <c r="I45" s="47"/>
      <c r="J45" s="61"/>
      <c r="K45" s="60"/>
      <c r="L45" s="61"/>
      <c r="M45" s="47"/>
      <c r="N45" s="61"/>
      <c r="O45" s="60"/>
    </row>
    <row r="46" spans="1:15" s="2" customFormat="1" ht="15.75" customHeight="1" x14ac:dyDescent="0.25">
      <c r="A46" s="75" t="s">
        <v>111</v>
      </c>
      <c r="B46" s="76">
        <f>B36</f>
        <v>44957</v>
      </c>
      <c r="C46" s="25">
        <f>C36+C44</f>
        <v>1177</v>
      </c>
      <c r="D46" s="61"/>
      <c r="E46" s="75" t="s">
        <v>111</v>
      </c>
      <c r="F46" s="76">
        <f>F36</f>
        <v>44985</v>
      </c>
      <c r="G46" s="25">
        <f>G36+G44</f>
        <v>677</v>
      </c>
      <c r="H46" s="61"/>
      <c r="I46" s="75" t="s">
        <v>111</v>
      </c>
      <c r="J46" s="76">
        <f>J36</f>
        <v>45016</v>
      </c>
      <c r="K46" s="25">
        <f>K36+K44</f>
        <v>607</v>
      </c>
      <c r="L46" s="61"/>
      <c r="M46" s="75" t="s">
        <v>111</v>
      </c>
      <c r="N46" s="76">
        <f>N36</f>
        <v>45018</v>
      </c>
      <c r="O46" s="25">
        <f>O36+O44</f>
        <v>177</v>
      </c>
    </row>
    <row r="47" spans="1:15" s="2" customFormat="1" ht="3" customHeight="1" x14ac:dyDescent="0.25">
      <c r="A47" s="47"/>
      <c r="B47" s="61"/>
      <c r="C47" s="60"/>
      <c r="D47" s="61"/>
      <c r="E47" s="47"/>
      <c r="F47" s="61"/>
      <c r="G47" s="60"/>
      <c r="H47" s="61"/>
      <c r="I47" s="47"/>
      <c r="J47" s="61"/>
      <c r="K47" s="60"/>
      <c r="L47" s="61"/>
      <c r="M47" s="47"/>
      <c r="N47" s="61"/>
      <c r="O47" s="60"/>
    </row>
    <row r="48" spans="1:15" s="2" customFormat="1" x14ac:dyDescent="0.25">
      <c r="A48" s="77"/>
      <c r="B48" s="63" t="s">
        <v>112</v>
      </c>
      <c r="C48" s="64">
        <f>IF(C46&lt;0,C46*8%,0)</f>
        <v>0</v>
      </c>
      <c r="D48" s="61"/>
      <c r="E48" s="77"/>
      <c r="F48" s="63" t="s">
        <v>112</v>
      </c>
      <c r="G48" s="64">
        <f>IF(G46&lt;0,G46*8%,0)</f>
        <v>0</v>
      </c>
      <c r="H48" s="61"/>
      <c r="I48" s="77"/>
      <c r="J48" s="63" t="s">
        <v>112</v>
      </c>
      <c r="K48" s="64">
        <f>IF(K46&lt;0,K46*8%,0)</f>
        <v>0</v>
      </c>
      <c r="L48" s="61"/>
      <c r="M48" s="77"/>
      <c r="N48" s="63" t="s">
        <v>112</v>
      </c>
      <c r="O48" s="64">
        <f>IF(O46&lt;0,O46*8%,0)</f>
        <v>0</v>
      </c>
    </row>
  </sheetData>
  <mergeCells count="8">
    <mergeCell ref="A1:C1"/>
    <mergeCell ref="E1:G1"/>
    <mergeCell ref="I1:K1"/>
    <mergeCell ref="M1:O1"/>
    <mergeCell ref="A27:C27"/>
    <mergeCell ref="E27:G27"/>
    <mergeCell ref="I27:K27"/>
    <mergeCell ref="M27:O27"/>
  </mergeCells>
  <conditionalFormatting sqref="B3">
    <cfRule type="expression" dxfId="841" priority="25">
      <formula>$D3&lt;&gt;""</formula>
    </cfRule>
  </conditionalFormatting>
  <conditionalFormatting sqref="G16:G20">
    <cfRule type="expression" dxfId="840" priority="20">
      <formula>$D16&lt;&gt;""</formula>
    </cfRule>
  </conditionalFormatting>
  <conditionalFormatting sqref="E3:G3">
    <cfRule type="expression" dxfId="839" priority="22">
      <formula>$D3&lt;&gt;""</formula>
    </cfRule>
  </conditionalFormatting>
  <conditionalFormatting sqref="E4:F4">
    <cfRule type="expression" dxfId="838" priority="21">
      <formula>$D4&lt;&gt;""</formula>
    </cfRule>
  </conditionalFormatting>
  <conditionalFormatting sqref="G4:G12">
    <cfRule type="expression" dxfId="837" priority="19">
      <formula>$D4&lt;&gt;""</formula>
    </cfRule>
  </conditionalFormatting>
  <conditionalFormatting sqref="K16:K20">
    <cfRule type="expression" dxfId="836" priority="16">
      <formula>$D16&lt;&gt;""</formula>
    </cfRule>
  </conditionalFormatting>
  <conditionalFormatting sqref="I3:K3">
    <cfRule type="expression" dxfId="835" priority="18">
      <formula>$D3&lt;&gt;""</formula>
    </cfRule>
  </conditionalFormatting>
  <conditionalFormatting sqref="I4:J4">
    <cfRule type="expression" dxfId="834" priority="17">
      <formula>$D4&lt;&gt;""</formula>
    </cfRule>
  </conditionalFormatting>
  <conditionalFormatting sqref="K4:K12">
    <cfRule type="expression" dxfId="833" priority="15">
      <formula>$D4&lt;&gt;""</formula>
    </cfRule>
  </conditionalFormatting>
  <conditionalFormatting sqref="O16:O20">
    <cfRule type="expression" dxfId="832" priority="12">
      <formula>$D16&lt;&gt;""</formula>
    </cfRule>
  </conditionalFormatting>
  <conditionalFormatting sqref="M3:O3">
    <cfRule type="expression" dxfId="831" priority="14">
      <formula>$D3&lt;&gt;""</formula>
    </cfRule>
  </conditionalFormatting>
  <conditionalFormatting sqref="M4:N4">
    <cfRule type="expression" dxfId="830" priority="13">
      <formula>$D4&lt;&gt;""</formula>
    </cfRule>
  </conditionalFormatting>
  <conditionalFormatting sqref="O4:O12">
    <cfRule type="expression" dxfId="829" priority="11">
      <formula>$D4&lt;&gt;""</formula>
    </cfRule>
  </conditionalFormatting>
  <conditionalFormatting sqref="B29 G30:G34 K30:K34 O30:O34">
    <cfRule type="expression" dxfId="828" priority="10">
      <formula>$D29&lt;&gt;""</formula>
    </cfRule>
  </conditionalFormatting>
  <conditionalFormatting sqref="G38:G42">
    <cfRule type="expression" dxfId="827" priority="7">
      <formula>$D38&lt;&gt;""</formula>
    </cfRule>
  </conditionalFormatting>
  <conditionalFormatting sqref="E29:G29">
    <cfRule type="expression" dxfId="826" priority="9">
      <formula>$D29&lt;&gt;""</formula>
    </cfRule>
  </conditionalFormatting>
  <conditionalFormatting sqref="E30:F30">
    <cfRule type="expression" dxfId="825" priority="8">
      <formula>$D30&lt;&gt;""</formula>
    </cfRule>
  </conditionalFormatting>
  <conditionalFormatting sqref="K38:K42">
    <cfRule type="expression" dxfId="824" priority="4">
      <formula>$D38&lt;&gt;""</formula>
    </cfRule>
  </conditionalFormatting>
  <conditionalFormatting sqref="I29:K29">
    <cfRule type="expression" dxfId="823" priority="6">
      <formula>$D29&lt;&gt;""</formula>
    </cfRule>
  </conditionalFormatting>
  <conditionalFormatting sqref="I30:J30">
    <cfRule type="expression" dxfId="822" priority="5">
      <formula>$D30&lt;&gt;""</formula>
    </cfRule>
  </conditionalFormatting>
  <conditionalFormatting sqref="O38:O42">
    <cfRule type="expression" dxfId="821" priority="1">
      <formula>$D38&lt;&gt;""</formula>
    </cfRule>
  </conditionalFormatting>
  <conditionalFormatting sqref="M29:O29">
    <cfRule type="expression" dxfId="820" priority="3">
      <formula>$D29&lt;&gt;""</formula>
    </cfRule>
  </conditionalFormatting>
  <conditionalFormatting sqref="M30:N30">
    <cfRule type="expression" dxfId="819" priority="2">
      <formula>$D30&lt;&gt;""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P28"/>
  <sheetViews>
    <sheetView showGridLines="0" zoomScale="80" zoomScaleNormal="80" workbookViewId="0">
      <selection activeCell="F52" sqref="F52"/>
    </sheetView>
  </sheetViews>
  <sheetFormatPr defaultRowHeight="15" x14ac:dyDescent="0.25"/>
  <cols>
    <col min="1" max="1" width="12" style="4" bestFit="1" customWidth="1"/>
    <col min="2" max="2" width="27.28515625" bestFit="1" customWidth="1"/>
    <col min="3" max="3" width="13.5703125" style="5" bestFit="1" customWidth="1"/>
    <col min="4" max="4" width="3.7109375" customWidth="1"/>
    <col min="5" max="5" width="11.42578125" bestFit="1" customWidth="1"/>
    <col min="6" max="6" width="28.7109375" bestFit="1" customWidth="1"/>
    <col min="7" max="7" width="13.5703125" bestFit="1" customWidth="1"/>
    <col min="8" max="8" width="3.7109375" customWidth="1"/>
    <col min="9" max="9" width="11.42578125" bestFit="1" customWidth="1"/>
    <col min="10" max="10" width="28.85546875" bestFit="1" customWidth="1"/>
    <col min="11" max="11" width="13.5703125" bestFit="1" customWidth="1"/>
    <col min="12" max="12" width="3.7109375" customWidth="1"/>
    <col min="13" max="13" width="10.85546875" bestFit="1" customWidth="1"/>
    <col min="14" max="14" width="26.28515625" bestFit="1" customWidth="1"/>
    <col min="15" max="15" width="13.5703125" bestFit="1" customWidth="1"/>
  </cols>
  <sheetData>
    <row r="1" spans="1:16" ht="20.25" customHeight="1" x14ac:dyDescent="0.3">
      <c r="A1" s="114" t="str">
        <f>UPPER(TEXT(A3,"mmmm"))</f>
        <v>MAIO</v>
      </c>
      <c r="B1" s="115"/>
      <c r="C1" s="116"/>
      <c r="D1" s="108"/>
      <c r="E1" s="114" t="str">
        <f>UPPER(TEXT(E3,"mmmm"))</f>
        <v>JUNHO</v>
      </c>
      <c r="F1" s="115"/>
      <c r="G1" s="115"/>
      <c r="H1" s="108"/>
      <c r="I1" s="114" t="str">
        <f>UPPER(TEXT(I3,"mmmm"))</f>
        <v>JULHO</v>
      </c>
      <c r="J1" s="115"/>
      <c r="K1" s="115"/>
      <c r="L1" s="108"/>
      <c r="M1" s="114" t="str">
        <f>UPPER(TEXT(M3,"mmmm"))</f>
        <v>AGOSTO</v>
      </c>
      <c r="N1" s="115"/>
      <c r="O1" s="115"/>
      <c r="P1" s="97"/>
    </row>
    <row r="2" spans="1:16" x14ac:dyDescent="0.25">
      <c r="A2" s="77" t="s">
        <v>97</v>
      </c>
      <c r="B2" s="95" t="s">
        <v>98</v>
      </c>
      <c r="C2" s="96" t="s">
        <v>99</v>
      </c>
      <c r="D2" s="108"/>
      <c r="E2" s="77" t="s">
        <v>97</v>
      </c>
      <c r="F2" s="95" t="s">
        <v>98</v>
      </c>
      <c r="G2" s="96" t="s">
        <v>99</v>
      </c>
      <c r="H2" s="108"/>
      <c r="I2" s="77" t="s">
        <v>97</v>
      </c>
      <c r="J2" s="95" t="s">
        <v>98</v>
      </c>
      <c r="K2" s="96" t="s">
        <v>99</v>
      </c>
      <c r="L2" s="108"/>
      <c r="M2" s="77" t="s">
        <v>97</v>
      </c>
      <c r="N2" s="95" t="s">
        <v>98</v>
      </c>
      <c r="O2" s="96" t="s">
        <v>99</v>
      </c>
      <c r="P2" s="97"/>
    </row>
    <row r="3" spans="1:16" x14ac:dyDescent="0.25">
      <c r="A3" s="14">
        <v>45047</v>
      </c>
      <c r="B3" s="9" t="s">
        <v>113</v>
      </c>
      <c r="C3" s="21">
        <v>-500</v>
      </c>
      <c r="D3" s="97"/>
      <c r="E3" s="14">
        <v>45078</v>
      </c>
      <c r="F3" s="9" t="s">
        <v>113</v>
      </c>
      <c r="G3" s="21">
        <f>C24</f>
        <v>-94.150000000000546</v>
      </c>
      <c r="H3" s="97"/>
      <c r="I3" s="14">
        <v>45108</v>
      </c>
      <c r="J3" s="9" t="s">
        <v>113</v>
      </c>
      <c r="K3" s="21">
        <f>G24</f>
        <v>-1476.1000000000013</v>
      </c>
      <c r="L3" s="97"/>
      <c r="M3" s="14">
        <v>45139</v>
      </c>
      <c r="N3" s="9" t="s">
        <v>113</v>
      </c>
      <c r="O3" s="21">
        <f>K24</f>
        <v>-914.050000000002</v>
      </c>
      <c r="P3" s="97"/>
    </row>
    <row r="4" spans="1:16" x14ac:dyDescent="0.25">
      <c r="A4" s="14">
        <v>45075</v>
      </c>
      <c r="B4" s="9" t="s">
        <v>114</v>
      </c>
      <c r="C4" s="21">
        <v>-2762.92</v>
      </c>
      <c r="D4" s="97"/>
      <c r="E4" s="14">
        <v>45107</v>
      </c>
      <c r="F4" s="9" t="s">
        <v>42</v>
      </c>
      <c r="G4" s="21">
        <v>-2060.08</v>
      </c>
      <c r="H4" s="97"/>
      <c r="I4" s="14">
        <v>45136</v>
      </c>
      <c r="J4" s="9" t="s">
        <v>43</v>
      </c>
      <c r="K4" s="21">
        <v>-2060.08</v>
      </c>
      <c r="L4" s="97"/>
      <c r="M4" s="14">
        <v>45167</v>
      </c>
      <c r="N4" s="9" t="s">
        <v>44</v>
      </c>
      <c r="O4" s="21">
        <v>-2060.08</v>
      </c>
      <c r="P4" s="97"/>
    </row>
    <row r="5" spans="1:16" x14ac:dyDescent="0.25">
      <c r="A5" s="14">
        <v>45076</v>
      </c>
      <c r="B5" s="9" t="s">
        <v>115</v>
      </c>
      <c r="C5" s="21">
        <v>-2060.08</v>
      </c>
      <c r="D5" s="97"/>
      <c r="E5" s="14">
        <v>45106</v>
      </c>
      <c r="F5" s="9" t="s">
        <v>88</v>
      </c>
      <c r="G5" s="21">
        <v>-2762.92</v>
      </c>
      <c r="H5" s="97"/>
      <c r="I5" s="14">
        <v>45137</v>
      </c>
      <c r="J5" s="9" t="s">
        <v>89</v>
      </c>
      <c r="K5" s="21">
        <v>-2762.92</v>
      </c>
      <c r="L5" s="97"/>
      <c r="M5" s="14">
        <v>45168</v>
      </c>
      <c r="N5" s="9" t="s">
        <v>90</v>
      </c>
      <c r="O5" s="21">
        <v>-2762.92</v>
      </c>
      <c r="P5" s="97"/>
    </row>
    <row r="6" spans="1:16" x14ac:dyDescent="0.25">
      <c r="A6" s="14">
        <v>45046</v>
      </c>
      <c r="B6" s="9" t="s">
        <v>116</v>
      </c>
      <c r="C6" s="21">
        <v>-33.340000000000003</v>
      </c>
      <c r="D6" s="97"/>
      <c r="E6" s="14">
        <v>45078</v>
      </c>
      <c r="F6" s="9" t="s">
        <v>117</v>
      </c>
      <c r="G6" s="21">
        <v>-387.81</v>
      </c>
      <c r="H6" s="97"/>
      <c r="I6" s="14">
        <v>45108</v>
      </c>
      <c r="J6" s="9" t="s">
        <v>118</v>
      </c>
      <c r="K6" s="21">
        <v>-387.81</v>
      </c>
      <c r="L6" s="97"/>
      <c r="M6" s="14">
        <v>45139</v>
      </c>
      <c r="N6" s="9" t="s">
        <v>119</v>
      </c>
      <c r="O6" s="21">
        <v>-356.08</v>
      </c>
      <c r="P6" s="97"/>
    </row>
    <row r="7" spans="1:16" x14ac:dyDescent="0.25">
      <c r="A7" s="14">
        <v>45046</v>
      </c>
      <c r="B7" s="9" t="s">
        <v>120</v>
      </c>
      <c r="C7" s="21">
        <v>-170</v>
      </c>
      <c r="D7" s="97"/>
      <c r="E7" s="14">
        <v>45079</v>
      </c>
      <c r="F7" s="9" t="s">
        <v>117</v>
      </c>
      <c r="G7" s="21">
        <v>-581.72</v>
      </c>
      <c r="H7" s="97"/>
      <c r="I7" s="14">
        <v>45109</v>
      </c>
      <c r="J7" s="9" t="s">
        <v>118</v>
      </c>
      <c r="K7" s="21">
        <v>-581.72</v>
      </c>
      <c r="L7" s="97"/>
      <c r="M7" s="14"/>
      <c r="N7" s="9"/>
      <c r="O7" s="21"/>
      <c r="P7" s="97"/>
    </row>
    <row r="8" spans="1:16" x14ac:dyDescent="0.25">
      <c r="A8" s="14">
        <v>45046</v>
      </c>
      <c r="B8" s="9" t="s">
        <v>121</v>
      </c>
      <c r="C8" s="21">
        <f>-99-123.21</f>
        <v>-222.20999999999998</v>
      </c>
      <c r="D8" s="97"/>
      <c r="E8" s="14">
        <v>45078</v>
      </c>
      <c r="F8" s="9" t="s">
        <v>122</v>
      </c>
      <c r="G8" s="21">
        <v>-356.08</v>
      </c>
      <c r="H8" s="97"/>
      <c r="I8" s="14">
        <v>45108</v>
      </c>
      <c r="J8" s="9" t="s">
        <v>123</v>
      </c>
      <c r="K8" s="21">
        <v>-356.08</v>
      </c>
      <c r="L8" s="97"/>
      <c r="M8" s="14"/>
      <c r="N8" s="9"/>
      <c r="O8" s="21"/>
      <c r="P8" s="97"/>
    </row>
    <row r="9" spans="1:16" x14ac:dyDescent="0.25">
      <c r="A9" s="14">
        <v>45047</v>
      </c>
      <c r="B9" s="9" t="s">
        <v>124</v>
      </c>
      <c r="C9" s="21">
        <v>-387.81</v>
      </c>
      <c r="D9" s="97"/>
      <c r="E9" s="14">
        <v>45076</v>
      </c>
      <c r="F9" s="9" t="s">
        <v>125</v>
      </c>
      <c r="G9" s="21">
        <v>-33.340000000000003</v>
      </c>
      <c r="H9" s="97"/>
      <c r="I9" s="14">
        <v>45107</v>
      </c>
      <c r="J9" s="9" t="s">
        <v>126</v>
      </c>
      <c r="K9" s="21">
        <v>-33.340000000000003</v>
      </c>
      <c r="L9" s="97"/>
      <c r="M9" s="14"/>
      <c r="N9" s="9"/>
      <c r="O9" s="21"/>
      <c r="P9" s="97"/>
    </row>
    <row r="10" spans="1:16" x14ac:dyDescent="0.25">
      <c r="A10" s="14">
        <v>45047</v>
      </c>
      <c r="B10" s="9" t="s">
        <v>127</v>
      </c>
      <c r="C10" s="21">
        <v>-356.08</v>
      </c>
      <c r="D10" s="97"/>
      <c r="E10" s="14"/>
      <c r="F10" s="9"/>
      <c r="G10" s="21"/>
      <c r="H10" s="97"/>
      <c r="I10" s="14"/>
      <c r="J10" s="9"/>
      <c r="K10" s="21"/>
      <c r="L10" s="97"/>
      <c r="M10" s="14"/>
      <c r="N10" s="9"/>
      <c r="O10" s="21"/>
      <c r="P10" s="97"/>
    </row>
    <row r="11" spans="1:16" x14ac:dyDescent="0.25">
      <c r="A11" s="14">
        <v>45047</v>
      </c>
      <c r="B11" s="9" t="s">
        <v>128</v>
      </c>
      <c r="C11" s="21">
        <v>-19.989999999999998</v>
      </c>
      <c r="D11" s="97"/>
      <c r="E11" s="14"/>
      <c r="F11" s="9"/>
      <c r="G11" s="21"/>
      <c r="H11" s="97"/>
      <c r="I11" s="14"/>
      <c r="J11" s="9"/>
      <c r="K11" s="21"/>
      <c r="L11" s="97"/>
      <c r="M11" s="14"/>
      <c r="N11" s="9"/>
      <c r="O11" s="21"/>
      <c r="P11" s="97"/>
    </row>
    <row r="12" spans="1:16" x14ac:dyDescent="0.25">
      <c r="A12" s="14">
        <v>45048</v>
      </c>
      <c r="B12" s="9" t="s">
        <v>124</v>
      </c>
      <c r="C12" s="21">
        <v>-581.72</v>
      </c>
      <c r="D12" s="97"/>
      <c r="E12" s="14"/>
      <c r="F12" s="9"/>
      <c r="G12" s="21"/>
      <c r="H12" s="97"/>
      <c r="I12" s="14"/>
      <c r="J12" s="9"/>
      <c r="K12" s="21"/>
      <c r="L12" s="97"/>
      <c r="M12" s="14"/>
      <c r="N12" s="9"/>
      <c r="O12" s="21"/>
      <c r="P12" s="97"/>
    </row>
    <row r="13" spans="1:16" x14ac:dyDescent="0.25">
      <c r="A13" s="98"/>
      <c r="B13" s="97"/>
      <c r="C13" s="99"/>
      <c r="D13" s="97"/>
      <c r="E13" s="100"/>
      <c r="F13" s="97"/>
      <c r="G13" s="101"/>
      <c r="H13" s="97"/>
      <c r="I13" s="100"/>
      <c r="J13" s="97"/>
      <c r="K13" s="99"/>
      <c r="L13" s="97"/>
      <c r="M13" s="100"/>
      <c r="N13" s="97"/>
      <c r="O13" s="101"/>
      <c r="P13" s="97"/>
    </row>
    <row r="14" spans="1:16" ht="15.75" customHeight="1" x14ac:dyDescent="0.25">
      <c r="A14" s="26" t="s">
        <v>109</v>
      </c>
      <c r="B14" s="29">
        <f>A3</f>
        <v>45047</v>
      </c>
      <c r="C14" s="22">
        <f>SUM(C3:C12)</f>
        <v>-7094.1500000000005</v>
      </c>
      <c r="D14" s="97"/>
      <c r="E14" s="26" t="s">
        <v>109</v>
      </c>
      <c r="F14" s="29">
        <f>E3</f>
        <v>45078</v>
      </c>
      <c r="G14" s="22">
        <f>SUM(G3:G12)</f>
        <v>-6276.1000000000013</v>
      </c>
      <c r="H14" s="97"/>
      <c r="I14" s="26" t="s">
        <v>109</v>
      </c>
      <c r="J14" s="29">
        <f>I3</f>
        <v>45108</v>
      </c>
      <c r="K14" s="22">
        <f>SUM(K3:K12)</f>
        <v>-7658.050000000002</v>
      </c>
      <c r="L14" s="97"/>
      <c r="M14" s="26" t="s">
        <v>109</v>
      </c>
      <c r="N14" s="29">
        <f>M3</f>
        <v>45139</v>
      </c>
      <c r="O14" s="22">
        <f>SUM(O3:O12)</f>
        <v>-6093.1300000000019</v>
      </c>
      <c r="P14" s="97"/>
    </row>
    <row r="15" spans="1:16" ht="15.75" customHeight="1" x14ac:dyDescent="0.25">
      <c r="A15" s="100"/>
      <c r="B15" s="97"/>
      <c r="C15" s="102"/>
      <c r="D15" s="97"/>
      <c r="E15" s="100"/>
      <c r="F15" s="97"/>
      <c r="G15" s="102"/>
      <c r="H15" s="97"/>
      <c r="I15" s="97"/>
      <c r="J15" s="97"/>
      <c r="K15" s="97"/>
      <c r="L15" s="97"/>
      <c r="M15" s="100"/>
      <c r="N15" s="97"/>
      <c r="O15" s="102"/>
      <c r="P15" s="97"/>
    </row>
    <row r="16" spans="1:16" x14ac:dyDescent="0.25">
      <c r="A16" s="15">
        <v>45084</v>
      </c>
      <c r="B16" s="7" t="s">
        <v>31</v>
      </c>
      <c r="C16" s="20">
        <v>2000</v>
      </c>
      <c r="D16" s="97"/>
      <c r="E16" s="15">
        <v>45113</v>
      </c>
      <c r="F16" s="7" t="s">
        <v>31</v>
      </c>
      <c r="G16" s="20">
        <v>2000</v>
      </c>
      <c r="H16" s="97"/>
      <c r="I16" s="15">
        <v>45140</v>
      </c>
      <c r="J16" s="7" t="s">
        <v>31</v>
      </c>
      <c r="K16" s="20">
        <v>1300</v>
      </c>
      <c r="L16" s="97"/>
      <c r="M16" s="15">
        <v>45170</v>
      </c>
      <c r="N16" s="7" t="s">
        <v>129</v>
      </c>
      <c r="O16" s="20">
        <v>5000</v>
      </c>
      <c r="P16" s="97"/>
    </row>
    <row r="17" spans="1:16" x14ac:dyDescent="0.25">
      <c r="A17" s="15">
        <v>45084</v>
      </c>
      <c r="B17" s="7" t="s">
        <v>32</v>
      </c>
      <c r="C17" s="20">
        <v>2000</v>
      </c>
      <c r="D17" s="97"/>
      <c r="E17" s="15">
        <v>45114</v>
      </c>
      <c r="F17" s="7" t="s">
        <v>31</v>
      </c>
      <c r="G17" s="20">
        <v>1800</v>
      </c>
      <c r="H17" s="97"/>
      <c r="I17" s="15">
        <v>45140</v>
      </c>
      <c r="J17" s="7" t="s">
        <v>130</v>
      </c>
      <c r="K17" s="20">
        <v>2000</v>
      </c>
      <c r="L17" s="97"/>
      <c r="M17" s="15">
        <v>45177</v>
      </c>
      <c r="N17" s="7" t="s">
        <v>31</v>
      </c>
      <c r="O17" s="20">
        <v>800</v>
      </c>
      <c r="P17" s="97"/>
    </row>
    <row r="18" spans="1:16" x14ac:dyDescent="0.25">
      <c r="A18" s="15">
        <v>45086</v>
      </c>
      <c r="B18" s="7" t="s">
        <v>31</v>
      </c>
      <c r="C18" s="20">
        <v>1000</v>
      </c>
      <c r="D18" s="97"/>
      <c r="E18" s="15">
        <v>45117</v>
      </c>
      <c r="F18" s="7" t="s">
        <v>31</v>
      </c>
      <c r="G18" s="20">
        <v>1000</v>
      </c>
      <c r="H18" s="97"/>
      <c r="I18" s="15">
        <v>45141</v>
      </c>
      <c r="J18" s="7" t="s">
        <v>31</v>
      </c>
      <c r="K18" s="20">
        <v>1944</v>
      </c>
      <c r="L18" s="97"/>
      <c r="M18" s="15"/>
      <c r="N18" s="7"/>
      <c r="O18" s="20"/>
      <c r="P18" s="97"/>
    </row>
    <row r="19" spans="1:16" x14ac:dyDescent="0.25">
      <c r="A19" s="15"/>
      <c r="B19" s="7"/>
      <c r="C19" s="20"/>
      <c r="D19" s="97"/>
      <c r="E19" s="15"/>
      <c r="F19" s="7"/>
      <c r="G19" s="20"/>
      <c r="H19" s="97"/>
      <c r="I19" s="15">
        <v>45142</v>
      </c>
      <c r="J19" s="7" t="s">
        <v>31</v>
      </c>
      <c r="K19" s="20">
        <v>1000</v>
      </c>
      <c r="L19" s="97"/>
      <c r="M19" s="15"/>
      <c r="N19" s="7"/>
      <c r="O19" s="20"/>
      <c r="P19" s="97"/>
    </row>
    <row r="20" spans="1:16" x14ac:dyDescent="0.25">
      <c r="A20" s="15">
        <v>45107</v>
      </c>
      <c r="B20" s="7" t="s">
        <v>130</v>
      </c>
      <c r="C20" s="20">
        <v>2000</v>
      </c>
      <c r="D20" s="97"/>
      <c r="E20" s="15"/>
      <c r="F20" s="7"/>
      <c r="G20" s="20"/>
      <c r="H20" s="97"/>
      <c r="I20" s="15">
        <v>45149</v>
      </c>
      <c r="J20" s="7" t="s">
        <v>31</v>
      </c>
      <c r="K20" s="20">
        <v>500</v>
      </c>
      <c r="L20" s="97"/>
      <c r="M20" s="15"/>
      <c r="N20" s="7"/>
      <c r="O20" s="20"/>
      <c r="P20" s="97"/>
    </row>
    <row r="21" spans="1:16" x14ac:dyDescent="0.25">
      <c r="A21" s="100"/>
      <c r="B21" s="97"/>
      <c r="C21" s="101"/>
      <c r="D21" s="97"/>
      <c r="E21" s="100"/>
      <c r="F21" s="97"/>
      <c r="G21" s="101"/>
      <c r="H21" s="97"/>
      <c r="I21" s="100"/>
      <c r="J21" s="97"/>
      <c r="K21" s="97"/>
      <c r="L21" s="97"/>
      <c r="M21" s="100"/>
      <c r="N21" s="97"/>
      <c r="O21" s="101"/>
      <c r="P21" s="97"/>
    </row>
    <row r="22" spans="1:16" ht="15.75" customHeight="1" x14ac:dyDescent="0.25">
      <c r="A22" s="27" t="s">
        <v>131</v>
      </c>
      <c r="B22" s="7" t="s">
        <v>110</v>
      </c>
      <c r="C22" s="24">
        <f>SUM(C16:C20)</f>
        <v>7000</v>
      </c>
      <c r="D22" s="97"/>
      <c r="E22" s="27" t="s">
        <v>131</v>
      </c>
      <c r="F22" s="7" t="s">
        <v>110</v>
      </c>
      <c r="G22" s="24">
        <f>SUM(G16:G20)</f>
        <v>4800</v>
      </c>
      <c r="H22" s="97"/>
      <c r="I22" s="27" t="s">
        <v>131</v>
      </c>
      <c r="J22" s="7" t="s">
        <v>110</v>
      </c>
      <c r="K22" s="24">
        <f>SUM(K16:K20)</f>
        <v>6744</v>
      </c>
      <c r="L22" s="97"/>
      <c r="M22" s="27" t="s">
        <v>3</v>
      </c>
      <c r="N22" s="7" t="s">
        <v>110</v>
      </c>
      <c r="O22" s="24">
        <f>SUM(O16:O20)</f>
        <v>5800</v>
      </c>
      <c r="P22" s="97"/>
    </row>
    <row r="23" spans="1:16" x14ac:dyDescent="0.25">
      <c r="A23" s="100"/>
      <c r="B23" s="97"/>
      <c r="C23" s="99"/>
      <c r="D23" s="97"/>
      <c r="E23" s="100"/>
      <c r="F23" s="97"/>
      <c r="G23" s="99"/>
      <c r="H23" s="97"/>
      <c r="I23" s="100"/>
      <c r="J23" s="97"/>
      <c r="K23" s="97"/>
      <c r="L23" s="97"/>
      <c r="M23" s="100"/>
      <c r="N23" s="97"/>
      <c r="O23" s="99"/>
      <c r="P23" s="97"/>
    </row>
    <row r="24" spans="1:16" ht="15.75" customHeight="1" x14ac:dyDescent="0.25">
      <c r="A24" s="28" t="s">
        <v>111</v>
      </c>
      <c r="B24" s="30">
        <f>B14</f>
        <v>45047</v>
      </c>
      <c r="C24" s="25">
        <f>C14+C22</f>
        <v>-94.150000000000546</v>
      </c>
      <c r="D24" s="97"/>
      <c r="E24" s="28" t="s">
        <v>111</v>
      </c>
      <c r="F24" s="30">
        <f>F14</f>
        <v>45078</v>
      </c>
      <c r="G24" s="25">
        <f>G14+G22</f>
        <v>-1476.1000000000013</v>
      </c>
      <c r="H24" s="97"/>
      <c r="I24" s="28" t="s">
        <v>111</v>
      </c>
      <c r="J24" s="30">
        <f>J14</f>
        <v>45108</v>
      </c>
      <c r="K24" s="25">
        <f>K14+K22</f>
        <v>-914.050000000002</v>
      </c>
      <c r="L24" s="97"/>
      <c r="M24" s="28" t="s">
        <v>111</v>
      </c>
      <c r="N24" s="30">
        <f>N14</f>
        <v>45139</v>
      </c>
      <c r="O24" s="25">
        <f>O14+O22</f>
        <v>-293.13000000000193</v>
      </c>
      <c r="P24" s="97"/>
    </row>
    <row r="25" spans="1:16" x14ac:dyDescent="0.25">
      <c r="A25" s="100"/>
      <c r="B25" s="97"/>
      <c r="C25" s="99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</row>
    <row r="26" spans="1:16" x14ac:dyDescent="0.25">
      <c r="A26" s="103"/>
      <c r="B26" s="104" t="s">
        <v>112</v>
      </c>
      <c r="C26" s="105">
        <f>IF(C24&lt;0,C24*8%,0)</f>
        <v>-7.5320000000000435</v>
      </c>
      <c r="D26" s="97"/>
      <c r="E26" s="103"/>
      <c r="F26" s="104" t="s">
        <v>112</v>
      </c>
      <c r="G26" s="105">
        <f>IF(G24&lt;0,G24*8%,0)</f>
        <v>-118.08800000000011</v>
      </c>
      <c r="H26" s="97"/>
      <c r="I26" s="103"/>
      <c r="J26" s="104" t="s">
        <v>112</v>
      </c>
      <c r="K26" s="105">
        <f>IF(K24&lt;0,K24*8%,0)</f>
        <v>-73.124000000000166</v>
      </c>
      <c r="L26" s="97"/>
      <c r="M26" s="103"/>
      <c r="N26" s="104" t="s">
        <v>112</v>
      </c>
      <c r="O26" s="105">
        <f>IF(O24&lt;0,O24*8%,0)</f>
        <v>-23.450400000000155</v>
      </c>
      <c r="P26" s="97"/>
    </row>
    <row r="27" spans="1:16" x14ac:dyDescent="0.25">
      <c r="A27" s="100"/>
      <c r="B27" s="97"/>
      <c r="C27" s="99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</row>
    <row r="28" spans="1:16" x14ac:dyDescent="0.25">
      <c r="A28" s="98"/>
      <c r="B28" s="97"/>
      <c r="C28" s="99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101">
        <f>K26+G26+C26+O26</f>
        <v>-222.19440000000046</v>
      </c>
      <c r="P28" s="97"/>
    </row>
  </sheetData>
  <mergeCells count="4">
    <mergeCell ref="A1:C1"/>
    <mergeCell ref="E1:G1"/>
    <mergeCell ref="I1:K1"/>
    <mergeCell ref="M1:O1"/>
  </mergeCells>
  <conditionalFormatting sqref="C5:C12">
    <cfRule type="expression" dxfId="818" priority="21">
      <formula>$D5&lt;&gt;""</formula>
    </cfRule>
  </conditionalFormatting>
  <conditionalFormatting sqref="A4:C4">
    <cfRule type="expression" dxfId="817" priority="23">
      <formula>$D4&lt;&gt;""</formula>
    </cfRule>
  </conditionalFormatting>
  <conditionalFormatting sqref="A5:B5">
    <cfRule type="expression" dxfId="816" priority="22">
      <formula>$D5&lt;&gt;""</formula>
    </cfRule>
  </conditionalFormatting>
  <conditionalFormatting sqref="C16:C20">
    <cfRule type="expression" dxfId="815" priority="18">
      <formula>$D17&lt;&gt;""</formula>
    </cfRule>
  </conditionalFormatting>
  <conditionalFormatting sqref="G16:G19">
    <cfRule type="expression" dxfId="814" priority="15">
      <formula>$D17&lt;&gt;""</formula>
    </cfRule>
  </conditionalFormatting>
  <conditionalFormatting sqref="E4:G4">
    <cfRule type="expression" dxfId="813" priority="17">
      <formula>$D4&lt;&gt;""</formula>
    </cfRule>
  </conditionalFormatting>
  <conditionalFormatting sqref="E5:F5">
    <cfRule type="expression" dxfId="812" priority="16">
      <formula>$D5&lt;&gt;""</formula>
    </cfRule>
  </conditionalFormatting>
  <conditionalFormatting sqref="G5:G12">
    <cfRule type="expression" dxfId="811" priority="14">
      <formula>$D5&lt;&gt;""</formula>
    </cfRule>
  </conditionalFormatting>
  <conditionalFormatting sqref="G20">
    <cfRule type="expression" dxfId="810" priority="13">
      <formula>$D21&lt;&gt;""</formula>
    </cfRule>
  </conditionalFormatting>
  <conditionalFormatting sqref="K16:K20">
    <cfRule type="expression" dxfId="809" priority="10">
      <formula>$D20&lt;&gt;""</formula>
    </cfRule>
  </conditionalFormatting>
  <conditionalFormatting sqref="I4:K4">
    <cfRule type="expression" dxfId="808" priority="12">
      <formula>$D4&lt;&gt;""</formula>
    </cfRule>
  </conditionalFormatting>
  <conditionalFormatting sqref="I5:J5">
    <cfRule type="expression" dxfId="807" priority="11">
      <formula>$D5&lt;&gt;""</formula>
    </cfRule>
  </conditionalFormatting>
  <conditionalFormatting sqref="K5:K12">
    <cfRule type="expression" dxfId="806" priority="9">
      <formula>$D5&lt;&gt;""</formula>
    </cfRule>
  </conditionalFormatting>
  <conditionalFormatting sqref="O16:O20">
    <cfRule type="expression" dxfId="805" priority="6">
      <formula>$D19&lt;&gt;""</formula>
    </cfRule>
  </conditionalFormatting>
  <conditionalFormatting sqref="M4:O4">
    <cfRule type="expression" dxfId="804" priority="8">
      <formula>$D4&lt;&gt;""</formula>
    </cfRule>
  </conditionalFormatting>
  <conditionalFormatting sqref="M5:N5">
    <cfRule type="expression" dxfId="803" priority="7">
      <formula>$D5&lt;&gt;""</formula>
    </cfRule>
  </conditionalFormatting>
  <conditionalFormatting sqref="O5 O7:O12">
    <cfRule type="expression" dxfId="802" priority="5">
      <formula>$D5&lt;&gt;""</formula>
    </cfRule>
  </conditionalFormatting>
  <conditionalFormatting sqref="O6">
    <cfRule type="expression" dxfId="801" priority="4">
      <formula>$D6&lt;&gt;""</formula>
    </cfRule>
  </conditionalFormatting>
  <conditionalFormatting sqref="C3">
    <cfRule type="expression" dxfId="800" priority="29">
      <formula>$D13&lt;&gt;""</formula>
    </cfRule>
  </conditionalFormatting>
  <conditionalFormatting sqref="G3">
    <cfRule type="expression" dxfId="799" priority="3">
      <formula>$D13&lt;&gt;""</formula>
    </cfRule>
  </conditionalFormatting>
  <conditionalFormatting sqref="K3">
    <cfRule type="expression" dxfId="798" priority="2">
      <formula>$D13&lt;&gt;""</formula>
    </cfRule>
  </conditionalFormatting>
  <conditionalFormatting sqref="O3">
    <cfRule type="expression" dxfId="797" priority="1">
      <formula>$D13&lt;&gt;""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O24"/>
  <sheetViews>
    <sheetView showGridLines="0" zoomScale="90" zoomScaleNormal="90" workbookViewId="0">
      <selection activeCell="F52" sqref="F52"/>
    </sheetView>
  </sheetViews>
  <sheetFormatPr defaultColWidth="9.140625" defaultRowHeight="15" x14ac:dyDescent="0.25"/>
  <cols>
    <col min="1" max="1" width="11.42578125" style="48" bestFit="1" customWidth="1"/>
    <col min="2" max="2" width="26.28515625" style="61" bestFit="1" customWidth="1"/>
    <col min="3" max="3" width="15" style="60" bestFit="1" customWidth="1"/>
    <col min="4" max="4" width="3.7109375" style="61" customWidth="1"/>
    <col min="5" max="5" width="13" style="61" bestFit="1" customWidth="1"/>
    <col min="6" max="6" width="26.28515625" style="61" bestFit="1" customWidth="1"/>
    <col min="7" max="7" width="13.5703125" style="61" bestFit="1" customWidth="1"/>
    <col min="8" max="8" width="3.7109375" style="61" customWidth="1"/>
    <col min="9" max="9" width="11.42578125" style="61" bestFit="1" customWidth="1"/>
    <col min="10" max="10" width="26.28515625" style="61" bestFit="1" customWidth="1"/>
    <col min="11" max="11" width="13.5703125" style="61" bestFit="1" customWidth="1"/>
    <col min="12" max="12" width="3.7109375" style="61" customWidth="1"/>
    <col min="13" max="13" width="11.42578125" style="61" bestFit="1" customWidth="1"/>
    <col min="14" max="14" width="26.28515625" style="61" bestFit="1" customWidth="1"/>
    <col min="15" max="15" width="13.5703125" style="61" bestFit="1" customWidth="1"/>
    <col min="16" max="16" width="9.140625" style="61" customWidth="1"/>
    <col min="17" max="16384" width="9.140625" style="61"/>
  </cols>
  <sheetData>
    <row r="1" spans="1:15" s="37" customFormat="1" ht="20.25" customHeight="1" x14ac:dyDescent="0.3">
      <c r="A1" s="117" t="str">
        <f>UPPER(TEXT(A4,"mmmm"))</f>
        <v>SETEMBRO</v>
      </c>
      <c r="B1" s="118"/>
      <c r="C1" s="118"/>
      <c r="E1" s="117" t="str">
        <f>UPPER(TEXT(E4,"mmmm"))</f>
        <v>OUTUBRO</v>
      </c>
      <c r="F1" s="118"/>
      <c r="G1" s="118"/>
      <c r="I1" s="117" t="str">
        <f>UPPER(TEXT(I4,"mmmm"))</f>
        <v>NOVEMBRO</v>
      </c>
      <c r="J1" s="118"/>
      <c r="K1" s="118"/>
      <c r="M1" s="117" t="str">
        <f>UPPER(TEXT(M4,"mmmm"))</f>
        <v>DEZEMBRO</v>
      </c>
      <c r="N1" s="118"/>
      <c r="O1" s="118"/>
    </row>
    <row r="2" spans="1:15" x14ac:dyDescent="0.25">
      <c r="A2" s="47" t="s">
        <v>97</v>
      </c>
      <c r="B2" s="48" t="s">
        <v>98</v>
      </c>
      <c r="C2" s="49" t="s">
        <v>99</v>
      </c>
      <c r="E2" s="47" t="s">
        <v>97</v>
      </c>
      <c r="F2" s="48" t="s">
        <v>98</v>
      </c>
      <c r="G2" s="49" t="s">
        <v>99</v>
      </c>
      <c r="I2" s="47" t="s">
        <v>97</v>
      </c>
      <c r="J2" s="48" t="s">
        <v>98</v>
      </c>
      <c r="K2" s="49" t="s">
        <v>99</v>
      </c>
      <c r="M2" s="47" t="s">
        <v>97</v>
      </c>
      <c r="N2" s="48" t="s">
        <v>98</v>
      </c>
      <c r="O2" s="49" t="s">
        <v>99</v>
      </c>
    </row>
    <row r="3" spans="1:15" x14ac:dyDescent="0.25">
      <c r="A3" s="66">
        <v>45170</v>
      </c>
      <c r="B3" s="67" t="str">
        <f>"SALDO "&amp;UPPER(TEXT(A3-1,"mmmm"))</f>
        <v>SALDO AGOSTO</v>
      </c>
      <c r="C3" s="32">
        <f>'05-08 de 23'!O24</f>
        <v>-293.13000000000193</v>
      </c>
      <c r="E3" s="66">
        <v>45200</v>
      </c>
      <c r="F3" s="67" t="str">
        <f>"SALDO "&amp;UPPER(TEXT(E3-1,"mmmm"))</f>
        <v>SALDO SETEMBRO</v>
      </c>
      <c r="G3" s="32">
        <f>C20</f>
        <v>-540.66040000000157</v>
      </c>
      <c r="I3" s="66">
        <v>45231</v>
      </c>
      <c r="J3" s="67" t="str">
        <f>"SALDO "&amp;UPPER(TEXT(I3-1,"mmmm"))</f>
        <v>SALDO OUTUBRO</v>
      </c>
      <c r="K3" s="32">
        <f>G20</f>
        <v>-865.5364320000017</v>
      </c>
      <c r="M3" s="66">
        <v>45261</v>
      </c>
      <c r="N3" s="67" t="str">
        <f>"SALDO "&amp;UPPER(TEXT(M3-1,"mmmm"))</f>
        <v>SALDO NOVEMBRO</v>
      </c>
      <c r="O3" s="58">
        <f>K20</f>
        <v>-1807.7793465600016</v>
      </c>
    </row>
    <row r="4" spans="1:15" x14ac:dyDescent="0.25">
      <c r="A4" s="66">
        <v>45198</v>
      </c>
      <c r="B4" s="67" t="s">
        <v>45</v>
      </c>
      <c r="C4" s="58">
        <v>-2060.08</v>
      </c>
      <c r="E4" s="66">
        <v>45228</v>
      </c>
      <c r="F4" s="67" t="s">
        <v>46</v>
      </c>
      <c r="G4" s="58">
        <v>-2060.08</v>
      </c>
      <c r="I4" s="66">
        <v>45259</v>
      </c>
      <c r="J4" s="67" t="s">
        <v>47</v>
      </c>
      <c r="K4" s="58">
        <v>-2060.08</v>
      </c>
      <c r="M4" s="66">
        <v>45289</v>
      </c>
      <c r="N4" s="67" t="s">
        <v>48</v>
      </c>
      <c r="O4" s="58">
        <v>-2060.08</v>
      </c>
    </row>
    <row r="5" spans="1:15" x14ac:dyDescent="0.25">
      <c r="A5" s="66">
        <v>45199</v>
      </c>
      <c r="B5" s="67" t="s">
        <v>91</v>
      </c>
      <c r="C5" s="58">
        <v>-2762.92</v>
      </c>
      <c r="E5" s="66">
        <v>45229</v>
      </c>
      <c r="F5" s="67" t="s">
        <v>92</v>
      </c>
      <c r="G5" s="58">
        <v>-2762.92</v>
      </c>
      <c r="I5" s="66">
        <v>45260</v>
      </c>
      <c r="J5" s="67" t="s">
        <v>93</v>
      </c>
      <c r="K5" s="58">
        <v>-2762.92</v>
      </c>
      <c r="M5" s="66">
        <v>45290</v>
      </c>
      <c r="N5" s="67" t="s">
        <v>94</v>
      </c>
      <c r="O5" s="58">
        <v>-2762.92</v>
      </c>
    </row>
    <row r="6" spans="1:15" x14ac:dyDescent="0.25">
      <c r="A6" s="66">
        <v>45199</v>
      </c>
      <c r="B6" s="67" t="s">
        <v>132</v>
      </c>
      <c r="C6" s="58">
        <v>-356.08</v>
      </c>
      <c r="E6" s="66"/>
      <c r="F6" s="67"/>
      <c r="G6" s="58"/>
      <c r="I6" s="66"/>
      <c r="J6" s="67"/>
      <c r="K6" s="58"/>
      <c r="M6" s="66"/>
      <c r="N6" s="67"/>
      <c r="O6" s="58"/>
    </row>
    <row r="7" spans="1:15" x14ac:dyDescent="0.25">
      <c r="A7" s="66"/>
      <c r="B7" s="67"/>
      <c r="C7" s="58"/>
      <c r="E7" s="66"/>
      <c r="F7" s="67"/>
      <c r="G7" s="58"/>
      <c r="I7" s="66"/>
      <c r="J7" s="67"/>
      <c r="K7" s="58"/>
      <c r="M7" s="66"/>
      <c r="N7" s="67"/>
      <c r="O7" s="58"/>
    </row>
    <row r="8" spans="1:15" x14ac:dyDescent="0.25">
      <c r="A8" s="66">
        <f>IF('05-08 de 23'!O26&lt;0,A3,"")</f>
        <v>45170</v>
      </c>
      <c r="B8" s="67" t="str">
        <f>IF('05-08 de 23'!O26&lt;0,"Juros 8% Mês "&amp;'05-08 de 23'!O26,"")</f>
        <v>Juros 8% Mês -23,4504000000002</v>
      </c>
      <c r="C8" s="32">
        <f>'05-08 de 23'!O26</f>
        <v>-23.450400000000155</v>
      </c>
      <c r="E8" s="66">
        <f>IF(C22&lt;0,E3,"")</f>
        <v>45200</v>
      </c>
      <c r="F8" s="67" t="str">
        <f>IF(C22&lt;0,"Juros 8% Mês "&amp;A1,"")</f>
        <v>Juros 8% Mês SETEMBRO</v>
      </c>
      <c r="G8" s="32">
        <f>C22</f>
        <v>-1.8760320000000124</v>
      </c>
      <c r="I8" s="66">
        <f>IF(G22&lt;0,I3,"")</f>
        <v>45231</v>
      </c>
      <c r="J8" s="67" t="str">
        <f>IF(G22&lt;0,"Juros 8% Mês "&amp;E1,"")</f>
        <v>Juros 8% Mês OUTUBRO</v>
      </c>
      <c r="K8" s="32">
        <f>G22</f>
        <v>-69.242914560000131</v>
      </c>
      <c r="M8" s="66">
        <f>IF(K22&lt;0,M3,"")</f>
        <v>45261</v>
      </c>
      <c r="N8" s="67" t="str">
        <f>IF(K22&lt;0,"Juros 8% Mês "&amp;I1,"")</f>
        <v>Juros 8% Mês NOVEMBRO</v>
      </c>
      <c r="O8" s="58">
        <f>K22</f>
        <v>-144.62234772480014</v>
      </c>
    </row>
    <row r="9" spans="1:15" ht="4.5" customHeight="1" x14ac:dyDescent="0.25">
      <c r="A9" s="47"/>
      <c r="C9" s="42"/>
      <c r="E9" s="47"/>
      <c r="G9" s="42"/>
      <c r="I9" s="47"/>
      <c r="K9" s="42"/>
      <c r="M9" s="47"/>
      <c r="O9" s="42"/>
    </row>
    <row r="10" spans="1:15" s="45" customFormat="1" ht="15.75" customHeight="1" x14ac:dyDescent="0.25">
      <c r="A10" s="68"/>
      <c r="B10" s="69" t="s">
        <v>133</v>
      </c>
      <c r="C10" s="52">
        <f>SUM(C3:C8)</f>
        <v>-5495.6604000000016</v>
      </c>
      <c r="E10" s="68"/>
      <c r="F10" s="69" t="s">
        <v>134</v>
      </c>
      <c r="G10" s="52">
        <f>SUM(G3:G8)</f>
        <v>-5365.5364320000017</v>
      </c>
      <c r="I10" s="68"/>
      <c r="J10" s="69" t="s">
        <v>135</v>
      </c>
      <c r="K10" s="52">
        <f>SUM(K3:K8)</f>
        <v>-5757.7793465600016</v>
      </c>
      <c r="M10" s="70"/>
      <c r="N10" s="71" t="s">
        <v>136</v>
      </c>
      <c r="O10" s="65">
        <f>SUM(O3:O8)</f>
        <v>-6775.401694284802</v>
      </c>
    </row>
    <row r="11" spans="1:15" ht="15.75" customHeight="1" x14ac:dyDescent="0.25">
      <c r="C11" s="43"/>
      <c r="E11" s="48"/>
      <c r="G11" s="43"/>
      <c r="I11" s="48"/>
      <c r="K11" s="43"/>
      <c r="M11" s="48"/>
      <c r="O11" s="43"/>
    </row>
    <row r="12" spans="1:15" x14ac:dyDescent="0.25">
      <c r="A12" s="72">
        <v>45203</v>
      </c>
      <c r="B12" s="73" t="s">
        <v>137</v>
      </c>
      <c r="C12" s="55">
        <v>1000</v>
      </c>
      <c r="E12" s="72">
        <v>45237</v>
      </c>
      <c r="F12" s="73" t="s">
        <v>138</v>
      </c>
      <c r="G12" s="55">
        <v>1000</v>
      </c>
      <c r="I12" s="72">
        <v>45269</v>
      </c>
      <c r="J12" s="73" t="s">
        <v>31</v>
      </c>
      <c r="K12" s="55">
        <v>1950</v>
      </c>
      <c r="M12" s="72">
        <v>45293</v>
      </c>
      <c r="N12" s="73" t="s">
        <v>31</v>
      </c>
      <c r="O12" s="55">
        <v>500</v>
      </c>
    </row>
    <row r="13" spans="1:15" x14ac:dyDescent="0.25">
      <c r="A13" s="72">
        <v>45205</v>
      </c>
      <c r="B13" s="73" t="s">
        <v>31</v>
      </c>
      <c r="C13" s="55">
        <v>1955</v>
      </c>
      <c r="E13" s="72">
        <v>45238</v>
      </c>
      <c r="F13" s="73" t="s">
        <v>138</v>
      </c>
      <c r="G13" s="55">
        <v>2000</v>
      </c>
      <c r="I13" s="72">
        <v>45272</v>
      </c>
      <c r="J13" s="73" t="s">
        <v>31</v>
      </c>
      <c r="K13" s="55">
        <v>500</v>
      </c>
      <c r="M13" s="72">
        <v>45303</v>
      </c>
      <c r="N13" s="73" t="s">
        <v>31</v>
      </c>
      <c r="O13" s="55">
        <v>2000</v>
      </c>
    </row>
    <row r="14" spans="1:15" x14ac:dyDescent="0.25">
      <c r="A14" s="72">
        <v>45206</v>
      </c>
      <c r="B14" s="73" t="s">
        <v>31</v>
      </c>
      <c r="C14" s="55">
        <v>2000</v>
      </c>
      <c r="E14" s="72">
        <v>45239</v>
      </c>
      <c r="F14" s="73" t="s">
        <v>138</v>
      </c>
      <c r="G14" s="55">
        <v>1500</v>
      </c>
      <c r="I14" s="72">
        <v>45288</v>
      </c>
      <c r="J14" s="73" t="s">
        <v>31</v>
      </c>
      <c r="K14" s="55">
        <v>1500</v>
      </c>
      <c r="M14" s="72">
        <v>45310</v>
      </c>
      <c r="N14" s="73" t="s">
        <v>31</v>
      </c>
      <c r="O14" s="55">
        <v>2000</v>
      </c>
    </row>
    <row r="15" spans="1:15" x14ac:dyDescent="0.25">
      <c r="A15" s="72"/>
      <c r="B15" s="73"/>
      <c r="C15" s="55"/>
      <c r="E15" s="72"/>
      <c r="F15" s="73"/>
      <c r="G15" s="55"/>
      <c r="I15" s="72"/>
      <c r="J15" s="73"/>
      <c r="K15" s="55"/>
      <c r="M15" s="72">
        <v>45311</v>
      </c>
      <c r="N15" s="73" t="s">
        <v>31</v>
      </c>
      <c r="O15" s="55">
        <v>500</v>
      </c>
    </row>
    <row r="16" spans="1:15" x14ac:dyDescent="0.25">
      <c r="A16" s="72"/>
      <c r="B16" s="73"/>
      <c r="C16" s="55"/>
      <c r="E16" s="72"/>
      <c r="F16" s="73"/>
      <c r="G16" s="55"/>
      <c r="I16" s="72"/>
      <c r="J16" s="73"/>
      <c r="K16" s="55"/>
      <c r="M16" s="72"/>
      <c r="N16" s="73"/>
      <c r="O16" s="55"/>
    </row>
    <row r="17" spans="1:15" ht="5.25" customHeight="1" x14ac:dyDescent="0.25">
      <c r="A17" s="47"/>
      <c r="C17" s="42"/>
      <c r="E17" s="47"/>
      <c r="G17" s="42"/>
      <c r="I17" s="47"/>
      <c r="K17" s="42"/>
      <c r="M17" s="47"/>
      <c r="O17" s="42"/>
    </row>
    <row r="18" spans="1:15" ht="15.75" customHeight="1" x14ac:dyDescent="0.25">
      <c r="A18" s="74"/>
      <c r="B18" s="73" t="s">
        <v>104</v>
      </c>
      <c r="C18" s="57">
        <f>SUM(C12:C16)</f>
        <v>4955</v>
      </c>
      <c r="E18" s="74"/>
      <c r="F18" s="73" t="s">
        <v>104</v>
      </c>
      <c r="G18" s="57">
        <f>SUM(G12:G16)</f>
        <v>4500</v>
      </c>
      <c r="I18" s="74"/>
      <c r="J18" s="73" t="s">
        <v>104</v>
      </c>
      <c r="K18" s="57">
        <f>SUM(K12:K16)</f>
        <v>3950</v>
      </c>
      <c r="M18" s="74"/>
      <c r="N18" s="73" t="s">
        <v>104</v>
      </c>
      <c r="O18" s="57">
        <f>SUM(O12:O16)</f>
        <v>5000</v>
      </c>
    </row>
    <row r="19" spans="1:15" ht="6.75" customHeight="1" x14ac:dyDescent="0.25">
      <c r="A19" s="47"/>
      <c r="E19" s="47"/>
      <c r="G19" s="60"/>
      <c r="I19" s="47"/>
      <c r="K19" s="60"/>
      <c r="M19" s="47"/>
      <c r="O19" s="60"/>
    </row>
    <row r="20" spans="1:15" s="45" customFormat="1" ht="15.75" customHeight="1" x14ac:dyDescent="0.25">
      <c r="A20" s="75"/>
      <c r="B20" s="76" t="s">
        <v>139</v>
      </c>
      <c r="C20" s="25">
        <f>C10+C18</f>
        <v>-540.66040000000157</v>
      </c>
      <c r="E20" s="75"/>
      <c r="F20" s="76" t="s">
        <v>140</v>
      </c>
      <c r="G20" s="25">
        <f>G10+G18</f>
        <v>-865.5364320000017</v>
      </c>
      <c r="I20" s="75"/>
      <c r="J20" s="76" t="s">
        <v>141</v>
      </c>
      <c r="K20" s="25">
        <f>K10+K18</f>
        <v>-1807.7793465600016</v>
      </c>
      <c r="M20" s="75"/>
      <c r="N20" s="76" t="s">
        <v>142</v>
      </c>
      <c r="O20" s="25">
        <f>O10+O18</f>
        <v>-1775.401694284802</v>
      </c>
    </row>
    <row r="21" spans="1:15" ht="7.5" customHeight="1" x14ac:dyDescent="0.25">
      <c r="A21" s="47"/>
    </row>
    <row r="22" spans="1:15" x14ac:dyDescent="0.25">
      <c r="A22" s="77"/>
      <c r="B22" s="63" t="s">
        <v>112</v>
      </c>
      <c r="C22" s="64">
        <f>IF('05-08 de 23'!O26&lt;0,'05-08 de 23'!O26*8%,0)</f>
        <v>-1.8760320000000124</v>
      </c>
      <c r="E22" s="77"/>
      <c r="F22" s="63" t="s">
        <v>112</v>
      </c>
      <c r="G22" s="64">
        <f>IF(G20&lt;0,G20*8%,0)</f>
        <v>-69.242914560000131</v>
      </c>
      <c r="I22" s="77"/>
      <c r="J22" s="63" t="s">
        <v>112</v>
      </c>
      <c r="K22" s="64">
        <f>IF(K20&lt;0,K20*8%,0)</f>
        <v>-144.62234772480014</v>
      </c>
      <c r="M22" s="77"/>
      <c r="N22" s="63" t="s">
        <v>112</v>
      </c>
      <c r="O22" s="64">
        <f>IF(O20&lt;0,O20*8%,0)</f>
        <v>-142.03213554278418</v>
      </c>
    </row>
    <row r="23" spans="1:15" x14ac:dyDescent="0.25">
      <c r="A23" s="47"/>
      <c r="C23" s="42"/>
      <c r="G23" s="42"/>
      <c r="K23" s="42"/>
      <c r="O23" s="42"/>
    </row>
    <row r="24" spans="1:15" x14ac:dyDescent="0.25">
      <c r="O24" s="42">
        <f>K22+O22</f>
        <v>-286.65448326758428</v>
      </c>
    </row>
  </sheetData>
  <mergeCells count="4">
    <mergeCell ref="A1:C1"/>
    <mergeCell ref="E1:G1"/>
    <mergeCell ref="I1:K1"/>
    <mergeCell ref="M1:O1"/>
  </mergeCells>
  <conditionalFormatting sqref="C7">
    <cfRule type="expression" dxfId="796" priority="28">
      <formula>$D6&lt;&gt;""</formula>
    </cfRule>
  </conditionalFormatting>
  <conditionalFormatting sqref="C12:C16">
    <cfRule type="expression" dxfId="795" priority="31">
      <formula>$D12&lt;&gt;""</formula>
    </cfRule>
  </conditionalFormatting>
  <conditionalFormatting sqref="A4:C4">
    <cfRule type="expression" dxfId="794" priority="30">
      <formula>$D3&lt;&gt;""</formula>
    </cfRule>
  </conditionalFormatting>
  <conditionalFormatting sqref="A5:B5">
    <cfRule type="expression" dxfId="793" priority="29">
      <formula>$D4&lt;&gt;""</formula>
    </cfRule>
  </conditionalFormatting>
  <conditionalFormatting sqref="C5">
    <cfRule type="expression" dxfId="792" priority="27">
      <formula>$D4&lt;&gt;""</formula>
    </cfRule>
  </conditionalFormatting>
  <conditionalFormatting sqref="C6">
    <cfRule type="expression" dxfId="791" priority="26">
      <formula>$D5&lt;&gt;""</formula>
    </cfRule>
  </conditionalFormatting>
  <conditionalFormatting sqref="G7">
    <cfRule type="expression" dxfId="790" priority="21">
      <formula>$D6&lt;&gt;""</formula>
    </cfRule>
  </conditionalFormatting>
  <conditionalFormatting sqref="G12:G16">
    <cfRule type="expression" dxfId="789" priority="24">
      <formula>$D12&lt;&gt;""</formula>
    </cfRule>
  </conditionalFormatting>
  <conditionalFormatting sqref="E4:G4">
    <cfRule type="expression" dxfId="788" priority="23">
      <formula>$D3&lt;&gt;""</formula>
    </cfRule>
  </conditionalFormatting>
  <conditionalFormatting sqref="E5:F5">
    <cfRule type="expression" dxfId="787" priority="22">
      <formula>$D4&lt;&gt;""</formula>
    </cfRule>
  </conditionalFormatting>
  <conditionalFormatting sqref="G5">
    <cfRule type="expression" dxfId="786" priority="20">
      <formula>$D4&lt;&gt;""</formula>
    </cfRule>
  </conditionalFormatting>
  <conditionalFormatting sqref="G6">
    <cfRule type="expression" dxfId="785" priority="19">
      <formula>$D5&lt;&gt;""</formula>
    </cfRule>
  </conditionalFormatting>
  <conditionalFormatting sqref="G3">
    <cfRule type="expression" dxfId="784" priority="25">
      <formula>#REF!&lt;&gt;""</formula>
    </cfRule>
  </conditionalFormatting>
  <conditionalFormatting sqref="K7">
    <cfRule type="expression" dxfId="783" priority="14">
      <formula>$D6&lt;&gt;""</formula>
    </cfRule>
  </conditionalFormatting>
  <conditionalFormatting sqref="K12:K16">
    <cfRule type="expression" dxfId="782" priority="17">
      <formula>$D12&lt;&gt;""</formula>
    </cfRule>
  </conditionalFormatting>
  <conditionalFormatting sqref="I4:K4">
    <cfRule type="expression" dxfId="781" priority="16">
      <formula>$D3&lt;&gt;""</formula>
    </cfRule>
  </conditionalFormatting>
  <conditionalFormatting sqref="I5:J5">
    <cfRule type="expression" dxfId="780" priority="15">
      <formula>$D4&lt;&gt;""</formula>
    </cfRule>
  </conditionalFormatting>
  <conditionalFormatting sqref="K5">
    <cfRule type="expression" dxfId="779" priority="13">
      <formula>$D4&lt;&gt;""</formula>
    </cfRule>
  </conditionalFormatting>
  <conditionalFormatting sqref="K6">
    <cfRule type="expression" dxfId="778" priority="12">
      <formula>$D5&lt;&gt;""</formula>
    </cfRule>
  </conditionalFormatting>
  <conditionalFormatting sqref="K3">
    <cfRule type="expression" dxfId="777" priority="18">
      <formula>#REF!&lt;&gt;""</formula>
    </cfRule>
  </conditionalFormatting>
  <conditionalFormatting sqref="O7:O8">
    <cfRule type="expression" dxfId="776" priority="7">
      <formula>$D6&lt;&gt;""</formula>
    </cfRule>
  </conditionalFormatting>
  <conditionalFormatting sqref="O12:O16">
    <cfRule type="expression" dxfId="775" priority="10">
      <formula>$D12&lt;&gt;""</formula>
    </cfRule>
  </conditionalFormatting>
  <conditionalFormatting sqref="M4:O4">
    <cfRule type="expression" dxfId="774" priority="9">
      <formula>$D3&lt;&gt;""</formula>
    </cfRule>
  </conditionalFormatting>
  <conditionalFormatting sqref="M5:N5">
    <cfRule type="expression" dxfId="773" priority="8">
      <formula>$D4&lt;&gt;""</formula>
    </cfRule>
  </conditionalFormatting>
  <conditionalFormatting sqref="O5">
    <cfRule type="expression" dxfId="772" priority="6">
      <formula>$D4&lt;&gt;""</formula>
    </cfRule>
  </conditionalFormatting>
  <conditionalFormatting sqref="O6">
    <cfRule type="expression" dxfId="771" priority="5">
      <formula>$D5&lt;&gt;""</formula>
    </cfRule>
  </conditionalFormatting>
  <conditionalFormatting sqref="O3">
    <cfRule type="expression" dxfId="770" priority="11">
      <formula>#REF!&lt;&gt;""</formula>
    </cfRule>
  </conditionalFormatting>
  <conditionalFormatting sqref="C3">
    <cfRule type="expression" dxfId="769" priority="4">
      <formula>$D2&lt;&gt;""</formula>
    </cfRule>
  </conditionalFormatting>
  <conditionalFormatting sqref="K8">
    <cfRule type="expression" dxfId="768" priority="3">
      <formula>$D7&lt;&gt;""</formula>
    </cfRule>
  </conditionalFormatting>
  <conditionalFormatting sqref="G8">
    <cfRule type="expression" dxfId="767" priority="2">
      <formula>$D7&lt;&gt;""</formula>
    </cfRule>
  </conditionalFormatting>
  <conditionalFormatting sqref="C8">
    <cfRule type="expression" dxfId="766" priority="1">
      <formula>$D7&lt;&gt;""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60" verticalDpi="36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O24"/>
  <sheetViews>
    <sheetView showGridLines="0" zoomScale="90" zoomScaleNormal="90" workbookViewId="0">
      <selection activeCell="F52" sqref="F52"/>
    </sheetView>
  </sheetViews>
  <sheetFormatPr defaultColWidth="9.140625" defaultRowHeight="15" x14ac:dyDescent="0.25"/>
  <cols>
    <col min="1" max="1" width="11.42578125" style="59" bestFit="1" customWidth="1"/>
    <col min="2" max="2" width="26.28515625" style="37" bestFit="1" customWidth="1"/>
    <col min="3" max="3" width="15" style="62" bestFit="1" customWidth="1"/>
    <col min="4" max="4" width="3.7109375" style="37" customWidth="1"/>
    <col min="5" max="5" width="13" style="37" bestFit="1" customWidth="1"/>
    <col min="6" max="6" width="24.28515625" style="37" bestFit="1" customWidth="1"/>
    <col min="7" max="7" width="13.5703125" style="37" bestFit="1" customWidth="1"/>
    <col min="8" max="8" width="3.7109375" style="37" customWidth="1"/>
    <col min="9" max="9" width="11.42578125" style="37" bestFit="1" customWidth="1"/>
    <col min="10" max="10" width="25.140625" style="37" bestFit="1" customWidth="1"/>
    <col min="11" max="11" width="13.5703125" style="37" bestFit="1" customWidth="1"/>
    <col min="12" max="12" width="3.7109375" style="37" customWidth="1"/>
    <col min="13" max="13" width="11.42578125" style="37" bestFit="1" customWidth="1"/>
    <col min="14" max="14" width="25.140625" style="37" bestFit="1" customWidth="1"/>
    <col min="15" max="15" width="13.5703125" style="37" bestFit="1" customWidth="1"/>
    <col min="16" max="16" width="9.140625" style="37" customWidth="1"/>
    <col min="17" max="16384" width="9.140625" style="37"/>
  </cols>
  <sheetData>
    <row r="1" spans="1:15" ht="20.25" customHeight="1" x14ac:dyDescent="0.3">
      <c r="A1" s="117" t="str">
        <f>UPPER(TEXT(A3,"mmmm"))</f>
        <v>JANEIRO</v>
      </c>
      <c r="B1" s="118"/>
      <c r="C1" s="119"/>
      <c r="E1" s="117" t="str">
        <f>UPPER(TEXT(E3,"mmmm"))</f>
        <v>FEVEREIRO</v>
      </c>
      <c r="F1" s="118"/>
      <c r="G1" s="118"/>
      <c r="I1" s="117" t="str">
        <f>UPPER(TEXT(I3,"mmmm"))</f>
        <v>MARÇO</v>
      </c>
      <c r="J1" s="118"/>
      <c r="K1" s="118"/>
      <c r="M1" s="117" t="str">
        <f>UPPER(TEXT(M3,"mmmm"))</f>
        <v>ABRIL</v>
      </c>
      <c r="N1" s="118"/>
      <c r="O1" s="118"/>
    </row>
    <row r="2" spans="1:15" x14ac:dyDescent="0.25">
      <c r="A2" s="47" t="s">
        <v>97</v>
      </c>
      <c r="B2" s="48" t="s">
        <v>98</v>
      </c>
      <c r="C2" s="49" t="s">
        <v>99</v>
      </c>
      <c r="E2" s="47" t="s">
        <v>97</v>
      </c>
      <c r="F2" s="48" t="s">
        <v>98</v>
      </c>
      <c r="G2" s="49" t="s">
        <v>99</v>
      </c>
      <c r="I2" s="47" t="s">
        <v>97</v>
      </c>
      <c r="J2" s="48" t="s">
        <v>98</v>
      </c>
      <c r="K2" s="49" t="s">
        <v>99</v>
      </c>
      <c r="M2" s="47" t="s">
        <v>97</v>
      </c>
      <c r="N2" s="48" t="s">
        <v>98</v>
      </c>
      <c r="O2" s="49" t="s">
        <v>99</v>
      </c>
    </row>
    <row r="3" spans="1:15" x14ac:dyDescent="0.25">
      <c r="A3" s="14">
        <v>45292</v>
      </c>
      <c r="B3" s="9" t="str">
        <f>"SALDO "&amp;UPPER(TEXT(A3-1,"mmmm"))</f>
        <v>SALDO DEZEMBRO</v>
      </c>
      <c r="C3" s="58">
        <f>'09-12 de 23'!O20-12.4296974335999</f>
        <v>-1787.8313917184018</v>
      </c>
      <c r="E3" s="14">
        <v>45323</v>
      </c>
      <c r="F3" s="9" t="str">
        <f>"SALDO "&amp;UPPER(TEXT(E3-1,"mmmm"))</f>
        <v>SALDO JANEIRO</v>
      </c>
      <c r="G3" s="58">
        <f>'01-04 de 24'!C20</f>
        <v>-1339.8635272611864</v>
      </c>
      <c r="I3" s="14">
        <v>45352</v>
      </c>
      <c r="J3" s="9" t="str">
        <f>"SALDO "&amp;UPPER(TEXT(I3-1,"mmmm"))</f>
        <v>SALDO FEVEREIRO</v>
      </c>
      <c r="K3" s="58">
        <f>G20</f>
        <v>-2523</v>
      </c>
      <c r="M3" s="14">
        <v>45383</v>
      </c>
      <c r="N3" s="9" t="str">
        <f>"SALDO "&amp;UPPER(TEXT(M3-1,"mmmm"))</f>
        <v>SALDO MARÇO</v>
      </c>
      <c r="O3" s="58">
        <f>K20</f>
        <v>-2582.08</v>
      </c>
    </row>
    <row r="4" spans="1:15" x14ac:dyDescent="0.25">
      <c r="A4" s="14">
        <v>45320</v>
      </c>
      <c r="B4" s="9" t="s">
        <v>49</v>
      </c>
      <c r="C4" s="58">
        <v>-2060.08</v>
      </c>
      <c r="E4" s="14">
        <v>45351</v>
      </c>
      <c r="F4" s="9" t="s">
        <v>143</v>
      </c>
      <c r="G4" s="58">
        <v>-2762.92</v>
      </c>
      <c r="I4" s="14">
        <v>45380</v>
      </c>
      <c r="J4" s="9" t="s">
        <v>51</v>
      </c>
      <c r="K4" s="58">
        <v>-2059.08</v>
      </c>
      <c r="M4" s="14">
        <v>45411</v>
      </c>
      <c r="N4" s="9" t="s">
        <v>52</v>
      </c>
      <c r="O4" s="58">
        <v>-2059.08</v>
      </c>
    </row>
    <row r="5" spans="1:15" x14ac:dyDescent="0.25">
      <c r="A5" s="14">
        <v>45321</v>
      </c>
      <c r="B5" s="9" t="s">
        <v>95</v>
      </c>
      <c r="C5" s="58">
        <v>-2762.92</v>
      </c>
      <c r="E5" s="14">
        <v>45351</v>
      </c>
      <c r="F5" s="9" t="s">
        <v>50</v>
      </c>
      <c r="G5" s="58">
        <v>-2060.08</v>
      </c>
      <c r="I5" s="14"/>
      <c r="J5" s="9"/>
      <c r="K5" s="58"/>
      <c r="M5" s="14"/>
      <c r="N5" s="9"/>
      <c r="O5" s="58"/>
    </row>
    <row r="6" spans="1:15" x14ac:dyDescent="0.25">
      <c r="A6" s="14"/>
      <c r="B6" s="9"/>
      <c r="C6" s="58"/>
      <c r="E6" s="14"/>
      <c r="F6" s="9"/>
      <c r="G6" s="58"/>
      <c r="I6" s="14"/>
      <c r="J6" s="9"/>
      <c r="K6" s="58"/>
      <c r="M6" s="14"/>
      <c r="N6" s="9"/>
      <c r="O6" s="58"/>
    </row>
    <row r="7" spans="1:15" x14ac:dyDescent="0.25">
      <c r="A7" s="14"/>
      <c r="B7" s="9"/>
      <c r="C7" s="58"/>
      <c r="E7" s="14"/>
      <c r="F7" s="9"/>
      <c r="G7" s="58"/>
      <c r="I7" s="14"/>
      <c r="J7" s="9"/>
      <c r="K7" s="58"/>
      <c r="M7" s="14"/>
      <c r="N7" s="9"/>
      <c r="O7" s="58"/>
    </row>
    <row r="8" spans="1:15" x14ac:dyDescent="0.25">
      <c r="A8" s="66">
        <f>IF('09-12 de 23'!O22&lt;0,A3,"")</f>
        <v>45292</v>
      </c>
      <c r="B8" s="67" t="str">
        <f>IF('09-12 de 23'!O22&lt;0,"Juros 8% Mês "&amp;'09-12 de 23'!M1,"")</f>
        <v>Juros 8% Mês DEZEMBRO</v>
      </c>
      <c r="C8" s="32">
        <f>'09-12 de 23'!O22</f>
        <v>-142.03213554278418</v>
      </c>
      <c r="E8" s="14"/>
      <c r="F8" s="9"/>
      <c r="G8" s="58"/>
      <c r="I8" s="14"/>
      <c r="J8" s="9"/>
      <c r="K8" s="58"/>
      <c r="M8" s="14"/>
      <c r="N8" s="9"/>
      <c r="O8" s="58"/>
    </row>
    <row r="9" spans="1:15" ht="4.5" customHeight="1" x14ac:dyDescent="0.25">
      <c r="A9" s="36"/>
      <c r="C9" s="42"/>
      <c r="E9" s="36"/>
      <c r="G9" s="42"/>
      <c r="I9" s="36"/>
      <c r="K9" s="42"/>
      <c r="M9" s="36"/>
      <c r="O9" s="42"/>
    </row>
    <row r="10" spans="1:15" s="35" customFormat="1" ht="15.75" customHeight="1" x14ac:dyDescent="0.25">
      <c r="A10" s="50" t="s">
        <v>109</v>
      </c>
      <c r="B10" s="51">
        <f>A3</f>
        <v>45292</v>
      </c>
      <c r="C10" s="52">
        <f>SUM(C3:C8)</f>
        <v>-6752.8635272611864</v>
      </c>
      <c r="E10" s="50" t="s">
        <v>109</v>
      </c>
      <c r="F10" s="51">
        <f>E3</f>
        <v>45323</v>
      </c>
      <c r="G10" s="52">
        <f>SUM(G4:G8)</f>
        <v>-4823</v>
      </c>
      <c r="I10" s="50" t="s">
        <v>109</v>
      </c>
      <c r="J10" s="51">
        <f>I3</f>
        <v>45352</v>
      </c>
      <c r="K10" s="52">
        <f>SUM(K3:K8)</f>
        <v>-4582.08</v>
      </c>
      <c r="M10" s="50" t="s">
        <v>109</v>
      </c>
      <c r="N10" s="51">
        <f>M3</f>
        <v>45383</v>
      </c>
      <c r="O10" s="52">
        <f>SUM(O3:O8)</f>
        <v>-4641.16</v>
      </c>
    </row>
    <row r="11" spans="1:15" ht="15.75" customHeight="1" x14ac:dyDescent="0.25">
      <c r="C11" s="43"/>
      <c r="E11" s="59"/>
      <c r="G11" s="43"/>
      <c r="I11" s="59"/>
      <c r="K11" s="43"/>
      <c r="M11" s="59"/>
      <c r="O11" s="43"/>
    </row>
    <row r="12" spans="1:15" x14ac:dyDescent="0.25">
      <c r="A12" s="53">
        <v>45331</v>
      </c>
      <c r="B12" s="54" t="s">
        <v>31</v>
      </c>
      <c r="C12" s="55">
        <v>1413</v>
      </c>
      <c r="E12" s="53">
        <v>45369</v>
      </c>
      <c r="F12" s="54" t="s">
        <v>144</v>
      </c>
      <c r="G12" s="55">
        <v>500</v>
      </c>
      <c r="I12" s="53">
        <v>45387</v>
      </c>
      <c r="J12" s="54" t="s">
        <v>144</v>
      </c>
      <c r="K12" s="55">
        <v>1000</v>
      </c>
      <c r="M12" s="53">
        <v>45412</v>
      </c>
      <c r="N12" s="54" t="s">
        <v>144</v>
      </c>
      <c r="O12" s="55">
        <v>1000</v>
      </c>
    </row>
    <row r="13" spans="1:15" x14ac:dyDescent="0.25">
      <c r="A13" s="53">
        <v>45334</v>
      </c>
      <c r="B13" s="54" t="s">
        <v>31</v>
      </c>
      <c r="C13" s="55">
        <v>500</v>
      </c>
      <c r="E13" s="53">
        <v>45376</v>
      </c>
      <c r="F13" s="54" t="s">
        <v>144</v>
      </c>
      <c r="G13" s="55">
        <v>1800</v>
      </c>
      <c r="I13" s="53">
        <v>45388</v>
      </c>
      <c r="J13" s="54" t="s">
        <v>144</v>
      </c>
      <c r="K13" s="55">
        <v>1000</v>
      </c>
      <c r="M13" s="53"/>
      <c r="N13" s="54"/>
      <c r="O13" s="55"/>
    </row>
    <row r="14" spans="1:15" x14ac:dyDescent="0.25">
      <c r="A14" s="53">
        <v>45346</v>
      </c>
      <c r="B14" s="54" t="s">
        <v>31</v>
      </c>
      <c r="C14" s="55">
        <v>1500</v>
      </c>
      <c r="E14" s="53"/>
      <c r="F14" s="54"/>
      <c r="G14" s="55"/>
      <c r="I14" s="53"/>
      <c r="J14" s="54"/>
      <c r="K14" s="55"/>
      <c r="M14" s="53"/>
      <c r="N14" s="54"/>
      <c r="O14" s="55"/>
    </row>
    <row r="15" spans="1:15" x14ac:dyDescent="0.25">
      <c r="A15" s="53">
        <v>45351</v>
      </c>
      <c r="B15" s="54" t="s">
        <v>31</v>
      </c>
      <c r="C15" s="55">
        <v>2000</v>
      </c>
      <c r="E15" s="53"/>
      <c r="F15" s="54"/>
      <c r="G15" s="55"/>
      <c r="I15" s="53"/>
      <c r="J15" s="54"/>
      <c r="K15" s="55"/>
      <c r="M15" s="53"/>
      <c r="N15" s="54"/>
      <c r="O15" s="55"/>
    </row>
    <row r="16" spans="1:15" x14ac:dyDescent="0.25">
      <c r="A16" s="53"/>
      <c r="B16" s="54"/>
      <c r="C16" s="55"/>
      <c r="E16" s="53"/>
      <c r="F16" s="54"/>
      <c r="G16" s="55"/>
      <c r="I16" s="53"/>
      <c r="J16" s="54"/>
      <c r="K16" s="55"/>
      <c r="M16" s="53"/>
      <c r="N16" s="54"/>
      <c r="O16" s="55"/>
    </row>
    <row r="17" spans="1:15" x14ac:dyDescent="0.25">
      <c r="A17" s="36"/>
      <c r="C17" s="42"/>
      <c r="E17" s="36"/>
      <c r="G17" s="42"/>
      <c r="I17" s="36"/>
      <c r="K17" s="42"/>
      <c r="M17" s="36"/>
      <c r="O17" s="42"/>
    </row>
    <row r="18" spans="1:15" ht="15.75" customHeight="1" x14ac:dyDescent="0.25">
      <c r="A18" s="56" t="s">
        <v>3</v>
      </c>
      <c r="B18" s="54" t="s">
        <v>110</v>
      </c>
      <c r="C18" s="57">
        <f>SUM(C12:C16)</f>
        <v>5413</v>
      </c>
      <c r="E18" s="56" t="s">
        <v>3</v>
      </c>
      <c r="F18" s="54" t="s">
        <v>110</v>
      </c>
      <c r="G18" s="57">
        <f>SUM(G12:G16)</f>
        <v>2300</v>
      </c>
      <c r="I18" s="56" t="s">
        <v>3</v>
      </c>
      <c r="J18" s="54" t="s">
        <v>110</v>
      </c>
      <c r="K18" s="57">
        <f>SUM(K12:K16)</f>
        <v>2000</v>
      </c>
      <c r="M18" s="56" t="s">
        <v>3</v>
      </c>
      <c r="N18" s="54" t="s">
        <v>110</v>
      </c>
      <c r="O18" s="57">
        <f>SUM(O12:O16)</f>
        <v>1000</v>
      </c>
    </row>
    <row r="19" spans="1:15" x14ac:dyDescent="0.25">
      <c r="A19" s="36"/>
      <c r="C19" s="60"/>
      <c r="E19" s="36"/>
      <c r="G19" s="60"/>
      <c r="I19" s="36"/>
      <c r="K19" s="60"/>
      <c r="M19" s="36"/>
      <c r="O19" s="60"/>
    </row>
    <row r="20" spans="1:15" s="35" customFormat="1" ht="15.75" customHeight="1" x14ac:dyDescent="0.25">
      <c r="A20" s="28" t="s">
        <v>111</v>
      </c>
      <c r="B20" s="30">
        <f>B10</f>
        <v>45292</v>
      </c>
      <c r="C20" s="25">
        <f>C10+C18</f>
        <v>-1339.8635272611864</v>
      </c>
      <c r="E20" s="28" t="s">
        <v>111</v>
      </c>
      <c r="F20" s="30">
        <f>F10</f>
        <v>45323</v>
      </c>
      <c r="G20" s="25">
        <f>G10+G18</f>
        <v>-2523</v>
      </c>
      <c r="I20" s="28" t="s">
        <v>111</v>
      </c>
      <c r="J20" s="30">
        <f>J10</f>
        <v>45352</v>
      </c>
      <c r="K20" s="25">
        <f>K10+K18</f>
        <v>-2582.08</v>
      </c>
      <c r="M20" s="28" t="s">
        <v>111</v>
      </c>
      <c r="N20" s="30">
        <f>N10</f>
        <v>45383</v>
      </c>
      <c r="O20" s="25">
        <f>O10+O18</f>
        <v>-3641.16</v>
      </c>
    </row>
    <row r="21" spans="1:15" x14ac:dyDescent="0.25">
      <c r="A21" s="36"/>
      <c r="C21" s="60"/>
      <c r="G21" s="61"/>
      <c r="K21" s="61"/>
      <c r="O21" s="61"/>
    </row>
    <row r="22" spans="1:15" x14ac:dyDescent="0.25">
      <c r="A22" s="36"/>
      <c r="C22" s="62">
        <f>'09-12 de 23'!O23</f>
        <v>0</v>
      </c>
      <c r="G22" s="42">
        <f>G20*8%</f>
        <v>-201.84</v>
      </c>
      <c r="K22" s="42">
        <f>K20*8%</f>
        <v>-206.56639999999999</v>
      </c>
      <c r="O22" s="42">
        <f>O20*8%</f>
        <v>-291.2928</v>
      </c>
    </row>
    <row r="23" spans="1:15" x14ac:dyDescent="0.25">
      <c r="A23" s="36"/>
      <c r="C23" s="42">
        <f>C22+(C20*20%)</f>
        <v>-267.97270545223728</v>
      </c>
      <c r="G23" s="42">
        <f>G22+C23</f>
        <v>-469.81270545223731</v>
      </c>
      <c r="K23" s="42">
        <f>G23+K22</f>
        <v>-676.37910545223735</v>
      </c>
      <c r="O23" s="42">
        <f>K23+O22</f>
        <v>-967.6719054522373</v>
      </c>
    </row>
    <row r="24" spans="1:15" x14ac:dyDescent="0.25">
      <c r="K24" s="61"/>
    </row>
  </sheetData>
  <mergeCells count="4">
    <mergeCell ref="A1:C1"/>
    <mergeCell ref="E1:G1"/>
    <mergeCell ref="I1:K1"/>
    <mergeCell ref="M1:O1"/>
  </mergeCells>
  <conditionalFormatting sqref="C7">
    <cfRule type="expression" dxfId="765" priority="36">
      <formula>$D6&lt;&gt;""</formula>
    </cfRule>
  </conditionalFormatting>
  <conditionalFormatting sqref="C12:C16">
    <cfRule type="expression" dxfId="764" priority="39">
      <formula>$D12&lt;&gt;""</formula>
    </cfRule>
  </conditionalFormatting>
  <conditionalFormatting sqref="A4:C4">
    <cfRule type="expression" dxfId="763" priority="38">
      <formula>$D3&lt;&gt;""</formula>
    </cfRule>
  </conditionalFormatting>
  <conditionalFormatting sqref="A5:B5">
    <cfRule type="expression" dxfId="762" priority="37">
      <formula>$D4&lt;&gt;""</formula>
    </cfRule>
  </conditionalFormatting>
  <conditionalFormatting sqref="C5">
    <cfRule type="expression" dxfId="761" priority="35">
      <formula>$D4&lt;&gt;""</formula>
    </cfRule>
  </conditionalFormatting>
  <conditionalFormatting sqref="C6">
    <cfRule type="expression" dxfId="760" priority="34">
      <formula>$D5&lt;&gt;""</formula>
    </cfRule>
  </conditionalFormatting>
  <conditionalFormatting sqref="C3">
    <cfRule type="expression" dxfId="759" priority="46">
      <formula>#REF!&lt;&gt;""</formula>
    </cfRule>
  </conditionalFormatting>
  <conditionalFormatting sqref="G7:G8">
    <cfRule type="expression" dxfId="758" priority="18">
      <formula>$D6&lt;&gt;""</formula>
    </cfRule>
  </conditionalFormatting>
  <conditionalFormatting sqref="G12:G16">
    <cfRule type="expression" dxfId="757" priority="21">
      <formula>$D12&lt;&gt;""</formula>
    </cfRule>
  </conditionalFormatting>
  <conditionalFormatting sqref="E4:G4">
    <cfRule type="expression" dxfId="756" priority="20">
      <formula>$D3&lt;&gt;""</formula>
    </cfRule>
  </conditionalFormatting>
  <conditionalFormatting sqref="E5:F5">
    <cfRule type="expression" dxfId="755" priority="19">
      <formula>$D4&lt;&gt;""</formula>
    </cfRule>
  </conditionalFormatting>
  <conditionalFormatting sqref="G5">
    <cfRule type="expression" dxfId="754" priority="17">
      <formula>$D4&lt;&gt;""</formula>
    </cfRule>
  </conditionalFormatting>
  <conditionalFormatting sqref="G6">
    <cfRule type="expression" dxfId="753" priority="16">
      <formula>$D5&lt;&gt;""</formula>
    </cfRule>
  </conditionalFormatting>
  <conditionalFormatting sqref="G3">
    <cfRule type="expression" dxfId="752" priority="22">
      <formula>#REF!&lt;&gt;""</formula>
    </cfRule>
  </conditionalFormatting>
  <conditionalFormatting sqref="K7:K8">
    <cfRule type="expression" dxfId="751" priority="11">
      <formula>$D6&lt;&gt;""</formula>
    </cfRule>
  </conditionalFormatting>
  <conditionalFormatting sqref="K12:K16">
    <cfRule type="expression" dxfId="750" priority="14">
      <formula>$D12&lt;&gt;""</formula>
    </cfRule>
  </conditionalFormatting>
  <conditionalFormatting sqref="I4:K4">
    <cfRule type="expression" dxfId="749" priority="13">
      <formula>$D3&lt;&gt;""</formula>
    </cfRule>
  </conditionalFormatting>
  <conditionalFormatting sqref="I5:J5">
    <cfRule type="expression" dxfId="748" priority="12">
      <formula>$D4&lt;&gt;""</formula>
    </cfRule>
  </conditionalFormatting>
  <conditionalFormatting sqref="K5">
    <cfRule type="expression" dxfId="747" priority="10">
      <formula>$D4&lt;&gt;""</formula>
    </cfRule>
  </conditionalFormatting>
  <conditionalFormatting sqref="K6">
    <cfRule type="expression" dxfId="746" priority="9">
      <formula>$D5&lt;&gt;""</formula>
    </cfRule>
  </conditionalFormatting>
  <conditionalFormatting sqref="K3">
    <cfRule type="expression" dxfId="745" priority="15">
      <formula>#REF!&lt;&gt;""</formula>
    </cfRule>
  </conditionalFormatting>
  <conditionalFormatting sqref="O7:O8">
    <cfRule type="expression" dxfId="744" priority="4">
      <formula>$D6&lt;&gt;""</formula>
    </cfRule>
  </conditionalFormatting>
  <conditionalFormatting sqref="O12:O16">
    <cfRule type="expression" dxfId="743" priority="7">
      <formula>$D12&lt;&gt;""</formula>
    </cfRule>
  </conditionalFormatting>
  <conditionalFormatting sqref="M4:O4">
    <cfRule type="expression" dxfId="742" priority="6">
      <formula>$D3&lt;&gt;""</formula>
    </cfRule>
  </conditionalFormatting>
  <conditionalFormatting sqref="M5:N5">
    <cfRule type="expression" dxfId="741" priority="5">
      <formula>$D4&lt;&gt;""</formula>
    </cfRule>
  </conditionalFormatting>
  <conditionalFormatting sqref="O5">
    <cfRule type="expression" dxfId="740" priority="3">
      <formula>$D4&lt;&gt;""</formula>
    </cfRule>
  </conditionalFormatting>
  <conditionalFormatting sqref="O6">
    <cfRule type="expression" dxfId="739" priority="2">
      <formula>$D5&lt;&gt;""</formula>
    </cfRule>
  </conditionalFormatting>
  <conditionalFormatting sqref="O3">
    <cfRule type="expression" dxfId="738" priority="8">
      <formula>#REF!&lt;&gt;""</formula>
    </cfRule>
  </conditionalFormatting>
  <conditionalFormatting sqref="C8">
    <cfRule type="expression" dxfId="737" priority="1">
      <formula>$D7&lt;&gt;""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O24"/>
  <sheetViews>
    <sheetView showGridLines="0" zoomScale="80" zoomScaleNormal="80" workbookViewId="0">
      <selection activeCell="F52" sqref="F52"/>
    </sheetView>
  </sheetViews>
  <sheetFormatPr defaultColWidth="9.140625" defaultRowHeight="15" x14ac:dyDescent="0.25"/>
  <cols>
    <col min="1" max="1" width="11.42578125" style="41" bestFit="1" customWidth="1"/>
    <col min="2" max="2" width="25.140625" style="35" bestFit="1" customWidth="1"/>
    <col min="3" max="3" width="13.5703125" style="46" bestFit="1" customWidth="1"/>
    <col min="4" max="4" width="3.7109375" style="35" customWidth="1"/>
    <col min="5" max="5" width="11.42578125" style="35" bestFit="1" customWidth="1"/>
    <col min="6" max="6" width="25.140625" style="35" bestFit="1" customWidth="1"/>
    <col min="7" max="7" width="15" style="35" bestFit="1" customWidth="1"/>
    <col min="8" max="8" width="3.7109375" style="35" customWidth="1"/>
    <col min="9" max="9" width="11.42578125" style="35" bestFit="1" customWidth="1"/>
    <col min="10" max="10" width="25.140625" style="35" bestFit="1" customWidth="1"/>
    <col min="11" max="11" width="15" style="35" bestFit="1" customWidth="1"/>
    <col min="12" max="12" width="3.7109375" style="35" customWidth="1"/>
    <col min="13" max="13" width="11.42578125" style="35" bestFit="1" customWidth="1"/>
    <col min="14" max="14" width="25.140625" style="35" bestFit="1" customWidth="1"/>
    <col min="15" max="15" width="15" style="35" bestFit="1" customWidth="1"/>
    <col min="16" max="16" width="9.140625" style="35" customWidth="1"/>
    <col min="17" max="16384" width="9.140625" style="35"/>
  </cols>
  <sheetData>
    <row r="1" spans="1:15" ht="20.25" customHeight="1" x14ac:dyDescent="0.3">
      <c r="A1" s="117" t="str">
        <f>UPPER(TEXT(A3,"mmmm"))</f>
        <v>MAIO</v>
      </c>
      <c r="B1" s="120"/>
      <c r="C1" s="121"/>
      <c r="D1" s="34"/>
      <c r="E1" s="117" t="str">
        <f>UPPER(TEXT(E3,"mmmm"))</f>
        <v>JUNHO</v>
      </c>
      <c r="F1" s="120"/>
      <c r="G1" s="120"/>
      <c r="H1" s="34"/>
      <c r="I1" s="117" t="str">
        <f>UPPER(TEXT(I3,"mmmm"))</f>
        <v>JULHO</v>
      </c>
      <c r="J1" s="120"/>
      <c r="K1" s="120"/>
      <c r="L1" s="34"/>
      <c r="M1" s="117" t="str">
        <f>UPPER(TEXT(M3,"mmmm"))</f>
        <v>AGOSTO</v>
      </c>
      <c r="N1" s="120"/>
      <c r="O1" s="120"/>
    </row>
    <row r="2" spans="1:15" x14ac:dyDescent="0.25">
      <c r="A2" s="47" t="s">
        <v>97</v>
      </c>
      <c r="B2" s="48" t="s">
        <v>98</v>
      </c>
      <c r="C2" s="49" t="s">
        <v>99</v>
      </c>
      <c r="D2" s="34"/>
      <c r="E2" s="47" t="s">
        <v>97</v>
      </c>
      <c r="F2" s="48" t="s">
        <v>98</v>
      </c>
      <c r="G2" s="49" t="s">
        <v>99</v>
      </c>
      <c r="H2" s="34"/>
      <c r="I2" s="47" t="s">
        <v>97</v>
      </c>
      <c r="J2" s="48" t="s">
        <v>98</v>
      </c>
      <c r="K2" s="49" t="s">
        <v>99</v>
      </c>
      <c r="L2" s="34"/>
      <c r="M2" s="47" t="s">
        <v>97</v>
      </c>
      <c r="N2" s="48" t="s">
        <v>98</v>
      </c>
      <c r="O2" s="49" t="s">
        <v>99</v>
      </c>
    </row>
    <row r="3" spans="1:15" x14ac:dyDescent="0.25">
      <c r="A3" s="14">
        <v>45413</v>
      </c>
      <c r="B3" s="9" t="str">
        <f>"SALDO "&amp;UPPER(TEXT(A3-1,"mmmm"))</f>
        <v>SALDO ABRIL</v>
      </c>
      <c r="C3" s="32">
        <f>'01-04 de 24'!O20</f>
        <v>-3641.16</v>
      </c>
      <c r="E3" s="14">
        <v>45444</v>
      </c>
      <c r="F3" s="9" t="str">
        <f>"SALDO "&amp;UPPER(TEXT(E3-1,"mmmm"))</f>
        <v>SALDO MAIO</v>
      </c>
      <c r="G3" s="32">
        <f>C20</f>
        <v>-3700.24</v>
      </c>
      <c r="I3" s="14">
        <v>45474</v>
      </c>
      <c r="J3" s="9" t="str">
        <f>"SALDO "&amp;UPPER(TEXT(I3-1,"mmmm"))</f>
        <v>SALDO JUNHO</v>
      </c>
      <c r="K3" s="32">
        <f>G20</f>
        <v>-3759.3199999999997</v>
      </c>
      <c r="M3" s="14">
        <v>45505</v>
      </c>
      <c r="N3" s="9" t="str">
        <f>"SALDO "&amp;UPPER(TEXT(M3-1,"mmmm"))</f>
        <v>SALDO JULHO</v>
      </c>
      <c r="O3" s="32">
        <f>K20</f>
        <v>-3818.3999999999996</v>
      </c>
    </row>
    <row r="4" spans="1:15" x14ac:dyDescent="0.25">
      <c r="A4" s="14">
        <f>A3+28</f>
        <v>45441</v>
      </c>
      <c r="B4" s="9" t="s">
        <v>53</v>
      </c>
      <c r="C4" s="32">
        <v>-2059.08</v>
      </c>
      <c r="E4" s="14">
        <f>E3+28</f>
        <v>45472</v>
      </c>
      <c r="F4" s="9" t="s">
        <v>54</v>
      </c>
      <c r="G4" s="32">
        <v>-2059.08</v>
      </c>
      <c r="I4" s="14">
        <f>I3+28</f>
        <v>45502</v>
      </c>
      <c r="J4" s="9" t="s">
        <v>55</v>
      </c>
      <c r="K4" s="32">
        <v>-2059.08</v>
      </c>
      <c r="M4" s="14">
        <f>M3+28</f>
        <v>45533</v>
      </c>
      <c r="N4" s="9" t="s">
        <v>56</v>
      </c>
      <c r="O4" s="32">
        <v>-2059.08</v>
      </c>
    </row>
    <row r="5" spans="1:15" x14ac:dyDescent="0.25">
      <c r="A5" s="14"/>
      <c r="B5" s="9"/>
      <c r="C5" s="32"/>
      <c r="E5" s="14"/>
      <c r="F5" s="9"/>
      <c r="G5" s="32"/>
      <c r="I5" s="14"/>
      <c r="J5" s="9"/>
      <c r="K5" s="32"/>
      <c r="M5" s="14"/>
      <c r="N5" s="9"/>
      <c r="O5" s="32"/>
    </row>
    <row r="6" spans="1:15" x14ac:dyDescent="0.25">
      <c r="A6" s="14"/>
      <c r="B6" s="9"/>
      <c r="C6" s="32"/>
      <c r="E6" s="14"/>
      <c r="F6" s="9"/>
      <c r="G6" s="32"/>
      <c r="I6" s="14"/>
      <c r="J6" s="9"/>
      <c r="K6" s="32"/>
      <c r="M6" s="14"/>
      <c r="N6" s="9"/>
      <c r="O6" s="32"/>
    </row>
    <row r="7" spans="1:15" x14ac:dyDescent="0.25">
      <c r="A7" s="14"/>
      <c r="B7" s="9"/>
      <c r="C7" s="32"/>
      <c r="E7" s="14"/>
      <c r="F7" s="9"/>
      <c r="G7" s="32"/>
      <c r="I7" s="14"/>
      <c r="J7" s="9"/>
      <c r="K7" s="32"/>
      <c r="M7" s="14"/>
      <c r="N7" s="9"/>
      <c r="O7" s="32"/>
    </row>
    <row r="8" spans="1:15" x14ac:dyDescent="0.25">
      <c r="A8" s="14"/>
      <c r="B8" s="9"/>
      <c r="C8" s="32"/>
      <c r="E8" s="14"/>
      <c r="F8" s="9"/>
      <c r="G8" s="32"/>
      <c r="I8" s="14"/>
      <c r="J8" s="9"/>
      <c r="K8" s="32"/>
      <c r="M8" s="14"/>
      <c r="N8" s="9"/>
      <c r="O8" s="32"/>
    </row>
    <row r="9" spans="1:15" ht="4.5" customHeight="1" x14ac:dyDescent="0.25">
      <c r="A9" s="39"/>
      <c r="C9" s="38"/>
      <c r="E9" s="39"/>
      <c r="G9" s="38"/>
      <c r="I9" s="39"/>
      <c r="K9" s="38"/>
      <c r="M9" s="39"/>
      <c r="O9" s="38"/>
    </row>
    <row r="10" spans="1:15" ht="15.75" customHeight="1" x14ac:dyDescent="0.25">
      <c r="A10" s="50" t="s">
        <v>109</v>
      </c>
      <c r="B10" s="51">
        <f>A3</f>
        <v>45413</v>
      </c>
      <c r="C10" s="52">
        <f>SUM(C3:C8)</f>
        <v>-5700.24</v>
      </c>
      <c r="E10" s="50" t="s">
        <v>109</v>
      </c>
      <c r="F10" s="51">
        <f>E3</f>
        <v>45444</v>
      </c>
      <c r="G10" s="52">
        <f>SUM(G3:G8)</f>
        <v>-5759.32</v>
      </c>
      <c r="I10" s="50" t="s">
        <v>109</v>
      </c>
      <c r="J10" s="51">
        <f>I3</f>
        <v>45474</v>
      </c>
      <c r="K10" s="52">
        <f>SUM(K3:K8)</f>
        <v>-5818.4</v>
      </c>
      <c r="M10" s="50" t="s">
        <v>109</v>
      </c>
      <c r="N10" s="51">
        <f>M3</f>
        <v>45505</v>
      </c>
      <c r="O10" s="52">
        <f>SUM(O3:O8)</f>
        <v>-5877.48</v>
      </c>
    </row>
    <row r="11" spans="1:15" ht="15.75" customHeight="1" x14ac:dyDescent="0.25">
      <c r="C11" s="40"/>
      <c r="E11" s="41"/>
      <c r="G11" s="40"/>
      <c r="I11" s="41"/>
      <c r="K11" s="40"/>
      <c r="M11" s="41"/>
      <c r="O11" s="40"/>
    </row>
    <row r="12" spans="1:15" x14ac:dyDescent="0.25">
      <c r="A12" s="53">
        <v>45421</v>
      </c>
      <c r="B12" s="54" t="s">
        <v>145</v>
      </c>
      <c r="C12" s="55">
        <v>2000</v>
      </c>
      <c r="D12" s="37"/>
      <c r="E12" s="53">
        <v>45450</v>
      </c>
      <c r="F12" s="54" t="s">
        <v>145</v>
      </c>
      <c r="G12" s="55">
        <v>2000</v>
      </c>
      <c r="H12" s="37"/>
      <c r="I12" s="53">
        <v>45477</v>
      </c>
      <c r="J12" s="54" t="s">
        <v>144</v>
      </c>
      <c r="K12" s="55">
        <v>2000</v>
      </c>
      <c r="L12" s="37"/>
      <c r="M12" s="53"/>
      <c r="N12" s="54"/>
      <c r="O12" s="55"/>
    </row>
    <row r="13" spans="1:15" x14ac:dyDescent="0.25">
      <c r="A13" s="53"/>
      <c r="B13" s="54"/>
      <c r="C13" s="55"/>
      <c r="D13" s="37"/>
      <c r="E13" s="53"/>
      <c r="F13" s="54"/>
      <c r="G13" s="55"/>
      <c r="H13" s="37"/>
      <c r="I13" s="53"/>
      <c r="J13" s="54"/>
      <c r="K13" s="55"/>
      <c r="L13" s="37"/>
      <c r="M13" s="53"/>
      <c r="N13" s="54"/>
      <c r="O13" s="55"/>
    </row>
    <row r="14" spans="1:15" x14ac:dyDescent="0.25">
      <c r="A14" s="53"/>
      <c r="B14" s="54"/>
      <c r="C14" s="55"/>
      <c r="D14" s="37"/>
      <c r="E14" s="53"/>
      <c r="F14" s="54"/>
      <c r="G14" s="55"/>
      <c r="H14" s="37"/>
      <c r="I14" s="53"/>
      <c r="J14" s="54"/>
      <c r="K14" s="55"/>
      <c r="L14" s="37"/>
      <c r="M14" s="53"/>
      <c r="N14" s="54"/>
      <c r="O14" s="55"/>
    </row>
    <row r="15" spans="1:15" x14ac:dyDescent="0.25">
      <c r="A15" s="53"/>
      <c r="B15" s="54"/>
      <c r="C15" s="55"/>
      <c r="D15" s="37"/>
      <c r="E15" s="53"/>
      <c r="F15" s="54"/>
      <c r="G15" s="55"/>
      <c r="H15" s="37"/>
      <c r="I15" s="53"/>
      <c r="J15" s="54"/>
      <c r="K15" s="55"/>
      <c r="L15" s="37"/>
      <c r="M15" s="53"/>
      <c r="N15" s="54"/>
      <c r="O15" s="55"/>
    </row>
    <row r="16" spans="1:15" x14ac:dyDescent="0.25">
      <c r="A16" s="53"/>
      <c r="B16" s="54"/>
      <c r="C16" s="55"/>
      <c r="D16" s="37"/>
      <c r="E16" s="53"/>
      <c r="F16" s="54"/>
      <c r="G16" s="55"/>
      <c r="H16" s="37"/>
      <c r="I16" s="53"/>
      <c r="J16" s="54"/>
      <c r="K16" s="55"/>
      <c r="L16" s="37"/>
      <c r="M16" s="53"/>
      <c r="N16" s="54"/>
      <c r="O16" s="55"/>
    </row>
    <row r="17" spans="1:15" x14ac:dyDescent="0.25">
      <c r="A17" s="39"/>
      <c r="C17" s="38"/>
      <c r="E17" s="39"/>
      <c r="G17" s="38"/>
      <c r="H17" s="37"/>
      <c r="I17" s="39"/>
      <c r="K17" s="38"/>
      <c r="L17" s="37"/>
      <c r="M17" s="39"/>
      <c r="O17" s="38"/>
    </row>
    <row r="18" spans="1:15" ht="15.75" customHeight="1" x14ac:dyDescent="0.25">
      <c r="A18" s="56" t="s">
        <v>3</v>
      </c>
      <c r="B18" s="54" t="s">
        <v>110</v>
      </c>
      <c r="C18" s="57">
        <f>SUM(C12:C16)</f>
        <v>2000</v>
      </c>
      <c r="D18" s="37"/>
      <c r="E18" s="56" t="s">
        <v>3</v>
      </c>
      <c r="F18" s="54" t="s">
        <v>110</v>
      </c>
      <c r="G18" s="57">
        <f>SUM(G12:G16)</f>
        <v>2000</v>
      </c>
      <c r="H18" s="37"/>
      <c r="I18" s="56" t="s">
        <v>3</v>
      </c>
      <c r="J18" s="54" t="s">
        <v>110</v>
      </c>
      <c r="K18" s="57">
        <f>SUM(K12:K16)</f>
        <v>2000</v>
      </c>
      <c r="L18" s="37"/>
      <c r="M18" s="56" t="s">
        <v>3</v>
      </c>
      <c r="N18" s="54" t="s">
        <v>110</v>
      </c>
      <c r="O18" s="57">
        <f>SUM(O12:O16)</f>
        <v>0</v>
      </c>
    </row>
    <row r="19" spans="1:15" x14ac:dyDescent="0.25">
      <c r="A19" s="39"/>
      <c r="C19" s="44"/>
      <c r="E19" s="39"/>
      <c r="G19" s="44"/>
      <c r="I19" s="39"/>
      <c r="K19" s="44"/>
      <c r="M19" s="39"/>
      <c r="O19" s="44"/>
    </row>
    <row r="20" spans="1:15" ht="15.75" customHeight="1" x14ac:dyDescent="0.25">
      <c r="A20" s="28" t="s">
        <v>111</v>
      </c>
      <c r="B20" s="30">
        <f>B10</f>
        <v>45413</v>
      </c>
      <c r="C20" s="25">
        <f>C10+C18</f>
        <v>-3700.24</v>
      </c>
      <c r="E20" s="28" t="s">
        <v>111</v>
      </c>
      <c r="F20" s="30">
        <f>F10</f>
        <v>45444</v>
      </c>
      <c r="G20" s="25">
        <f>G10+G18</f>
        <v>-3759.3199999999997</v>
      </c>
      <c r="I20" s="28" t="s">
        <v>111</v>
      </c>
      <c r="J20" s="30">
        <f>J10</f>
        <v>45474</v>
      </c>
      <c r="K20" s="25">
        <f>K10+K18</f>
        <v>-3818.3999999999996</v>
      </c>
      <c r="M20" s="28" t="s">
        <v>111</v>
      </c>
      <c r="N20" s="30">
        <f>N10</f>
        <v>45505</v>
      </c>
      <c r="O20" s="25">
        <f>O10+O18</f>
        <v>-5877.48</v>
      </c>
    </row>
    <row r="21" spans="1:15" x14ac:dyDescent="0.25">
      <c r="A21" s="39"/>
      <c r="C21" s="44"/>
      <c r="G21" s="45"/>
      <c r="K21" s="45"/>
      <c r="O21" s="45"/>
    </row>
    <row r="22" spans="1:15" x14ac:dyDescent="0.25">
      <c r="A22" s="39"/>
      <c r="C22" s="38">
        <f>C20*8%</f>
        <v>-296.01920000000001</v>
      </c>
      <c r="G22" s="38">
        <f>G20*8%</f>
        <v>-300.74559999999997</v>
      </c>
      <c r="K22" s="38">
        <f>K20*8%</f>
        <v>-305.47199999999998</v>
      </c>
      <c r="O22" s="38">
        <f>O20*8%</f>
        <v>-470.19839999999999</v>
      </c>
    </row>
    <row r="23" spans="1:15" x14ac:dyDescent="0.25">
      <c r="A23" s="39"/>
      <c r="C23" s="44">
        <f>'01-04 de 24'!O23+'05-08 de 24'!C22</f>
        <v>-1263.6911054522373</v>
      </c>
      <c r="G23" s="38">
        <f>C23+G22</f>
        <v>-1564.4367054522372</v>
      </c>
      <c r="K23" s="38">
        <f>G23+K22</f>
        <v>-1869.9087054522372</v>
      </c>
      <c r="O23" s="38">
        <f>K23+O22</f>
        <v>-2340.1071054522372</v>
      </c>
    </row>
    <row r="24" spans="1:15" x14ac:dyDescent="0.25">
      <c r="K24" s="45"/>
    </row>
  </sheetData>
  <mergeCells count="4">
    <mergeCell ref="A1:C1"/>
    <mergeCell ref="E1:G1"/>
    <mergeCell ref="I1:K1"/>
    <mergeCell ref="M1:O1"/>
  </mergeCells>
  <conditionalFormatting sqref="C7:C8">
    <cfRule type="expression" dxfId="736" priority="24">
      <formula>$D6&lt;&gt;""</formula>
    </cfRule>
  </conditionalFormatting>
  <conditionalFormatting sqref="C12:C16">
    <cfRule type="expression" dxfId="735" priority="27">
      <formula>$D12&lt;&gt;""</formula>
    </cfRule>
  </conditionalFormatting>
  <conditionalFormatting sqref="A4:C4">
    <cfRule type="expression" dxfId="734" priority="26">
      <formula>$D3&lt;&gt;""</formula>
    </cfRule>
  </conditionalFormatting>
  <conditionalFormatting sqref="A5:B5">
    <cfRule type="expression" dxfId="733" priority="25">
      <formula>$D4&lt;&gt;""</formula>
    </cfRule>
  </conditionalFormatting>
  <conditionalFormatting sqref="C5">
    <cfRule type="expression" dxfId="732" priority="23">
      <formula>$D4&lt;&gt;""</formula>
    </cfRule>
  </conditionalFormatting>
  <conditionalFormatting sqref="C6">
    <cfRule type="expression" dxfId="731" priority="22">
      <formula>$D5&lt;&gt;""</formula>
    </cfRule>
  </conditionalFormatting>
  <conditionalFormatting sqref="C3">
    <cfRule type="expression" dxfId="730" priority="28">
      <formula>#REF!&lt;&gt;""</formula>
    </cfRule>
  </conditionalFormatting>
  <conditionalFormatting sqref="G7:G8">
    <cfRule type="expression" dxfId="729" priority="17">
      <formula>$D6&lt;&gt;""</formula>
    </cfRule>
  </conditionalFormatting>
  <conditionalFormatting sqref="G12:G16">
    <cfRule type="expression" dxfId="728" priority="20">
      <formula>$D12&lt;&gt;""</formula>
    </cfRule>
  </conditionalFormatting>
  <conditionalFormatting sqref="E4:G4">
    <cfRule type="expression" dxfId="727" priority="19">
      <formula>$D3&lt;&gt;""</formula>
    </cfRule>
  </conditionalFormatting>
  <conditionalFormatting sqref="E5:F5">
    <cfRule type="expression" dxfId="726" priority="18">
      <formula>$D4&lt;&gt;""</formula>
    </cfRule>
  </conditionalFormatting>
  <conditionalFormatting sqref="G5">
    <cfRule type="expression" dxfId="725" priority="16">
      <formula>$D4&lt;&gt;""</formula>
    </cfRule>
  </conditionalFormatting>
  <conditionalFormatting sqref="G6">
    <cfRule type="expression" dxfId="724" priority="15">
      <formula>$D5&lt;&gt;""</formula>
    </cfRule>
  </conditionalFormatting>
  <conditionalFormatting sqref="G3">
    <cfRule type="expression" dxfId="723" priority="21">
      <formula>#REF!&lt;&gt;""</formula>
    </cfRule>
  </conditionalFormatting>
  <conditionalFormatting sqref="K7:K8">
    <cfRule type="expression" dxfId="722" priority="10">
      <formula>$D6&lt;&gt;""</formula>
    </cfRule>
  </conditionalFormatting>
  <conditionalFormatting sqref="K12:K16">
    <cfRule type="expression" dxfId="721" priority="13">
      <formula>$D12&lt;&gt;""</formula>
    </cfRule>
  </conditionalFormatting>
  <conditionalFormatting sqref="I4:K4">
    <cfRule type="expression" dxfId="720" priority="12">
      <formula>$D3&lt;&gt;""</formula>
    </cfRule>
  </conditionalFormatting>
  <conditionalFormatting sqref="I5:J5">
    <cfRule type="expression" dxfId="719" priority="11">
      <formula>$D4&lt;&gt;""</formula>
    </cfRule>
  </conditionalFormatting>
  <conditionalFormatting sqref="K5">
    <cfRule type="expression" dxfId="718" priority="9">
      <formula>$D4&lt;&gt;""</formula>
    </cfRule>
  </conditionalFormatting>
  <conditionalFormatting sqref="K6">
    <cfRule type="expression" dxfId="717" priority="8">
      <formula>$D5&lt;&gt;""</formula>
    </cfRule>
  </conditionalFormatting>
  <conditionalFormatting sqref="K3">
    <cfRule type="expression" dxfId="716" priority="14">
      <formula>#REF!&lt;&gt;""</formula>
    </cfRule>
  </conditionalFormatting>
  <conditionalFormatting sqref="O7:O8">
    <cfRule type="expression" dxfId="715" priority="3">
      <formula>$D6&lt;&gt;""</formula>
    </cfRule>
  </conditionalFormatting>
  <conditionalFormatting sqref="O12:O16">
    <cfRule type="expression" dxfId="714" priority="6">
      <formula>$D12&lt;&gt;""</formula>
    </cfRule>
  </conditionalFormatting>
  <conditionalFormatting sqref="M4:O4">
    <cfRule type="expression" dxfId="713" priority="5">
      <formula>$D3&lt;&gt;""</formula>
    </cfRule>
  </conditionalFormatting>
  <conditionalFormatting sqref="M5:N5">
    <cfRule type="expression" dxfId="712" priority="4">
      <formula>$D4&lt;&gt;""</formula>
    </cfRule>
  </conditionalFormatting>
  <conditionalFormatting sqref="O5">
    <cfRule type="expression" dxfId="711" priority="2">
      <formula>$D4&lt;&gt;""</formula>
    </cfRule>
  </conditionalFormatting>
  <conditionalFormatting sqref="O6">
    <cfRule type="expression" dxfId="710" priority="1">
      <formula>$D5&lt;&gt;""</formula>
    </cfRule>
  </conditionalFormatting>
  <conditionalFormatting sqref="O3">
    <cfRule type="expression" dxfId="709" priority="7">
      <formula>#REF!&lt;&gt;""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24"/>
  <sheetViews>
    <sheetView showGridLines="0" zoomScale="80" zoomScaleNormal="80" workbookViewId="0">
      <selection activeCell="F52" sqref="F52"/>
    </sheetView>
  </sheetViews>
  <sheetFormatPr defaultColWidth="9.140625" defaultRowHeight="15" x14ac:dyDescent="0.25"/>
  <cols>
    <col min="1" max="1" width="11.42578125" style="41" bestFit="1" customWidth="1"/>
    <col min="2" max="2" width="26.28515625" style="35" bestFit="1" customWidth="1"/>
    <col min="3" max="3" width="15" style="46" bestFit="1" customWidth="1"/>
    <col min="4" max="4" width="3.7109375" style="35" customWidth="1"/>
    <col min="5" max="5" width="13" style="35" bestFit="1" customWidth="1"/>
    <col min="6" max="6" width="24.28515625" style="35" bestFit="1" customWidth="1"/>
    <col min="7" max="7" width="15" style="35" bestFit="1" customWidth="1"/>
    <col min="8" max="8" width="3.7109375" style="35" customWidth="1"/>
    <col min="9" max="9" width="11.42578125" style="35" bestFit="1" customWidth="1"/>
    <col min="10" max="10" width="25.140625" style="35" bestFit="1" customWidth="1"/>
    <col min="11" max="11" width="15" style="35" bestFit="1" customWidth="1"/>
    <col min="12" max="12" width="3.7109375" style="35" customWidth="1"/>
    <col min="13" max="13" width="11.42578125" style="35" bestFit="1" customWidth="1"/>
    <col min="14" max="14" width="25.140625" style="35" bestFit="1" customWidth="1"/>
    <col min="15" max="15" width="15" style="35" bestFit="1" customWidth="1"/>
    <col min="16" max="16" width="9.140625" style="35" customWidth="1"/>
    <col min="17" max="16384" width="9.140625" style="35"/>
  </cols>
  <sheetData>
    <row r="1" spans="1:15" ht="20.25" customHeight="1" x14ac:dyDescent="0.3">
      <c r="A1" s="117" t="str">
        <f>UPPER(TEXT(A3,"mmmm"))</f>
        <v>SETEMBRO</v>
      </c>
      <c r="B1" s="120"/>
      <c r="C1" s="121"/>
      <c r="D1" s="34"/>
      <c r="E1" s="117" t="str">
        <f>UPPER(TEXT(E3,"mmmm"))</f>
        <v>OUTUBRO</v>
      </c>
      <c r="F1" s="120"/>
      <c r="G1" s="120"/>
      <c r="H1" s="34"/>
      <c r="I1" s="117" t="str">
        <f>UPPER(TEXT(I3,"mmmm"))</f>
        <v>NOVEMBRO</v>
      </c>
      <c r="J1" s="120"/>
      <c r="K1" s="120"/>
      <c r="L1" s="34"/>
      <c r="M1" s="117" t="str">
        <f>UPPER(TEXT(M3,"mmmm"))</f>
        <v>DEZEMBRO</v>
      </c>
      <c r="N1" s="120"/>
      <c r="O1" s="120"/>
    </row>
    <row r="2" spans="1:15" x14ac:dyDescent="0.25">
      <c r="A2" s="47" t="s">
        <v>97</v>
      </c>
      <c r="B2" s="48" t="s">
        <v>98</v>
      </c>
      <c r="C2" s="49" t="s">
        <v>99</v>
      </c>
      <c r="D2" s="34"/>
      <c r="E2" s="47" t="s">
        <v>97</v>
      </c>
      <c r="F2" s="48" t="s">
        <v>98</v>
      </c>
      <c r="G2" s="49" t="s">
        <v>99</v>
      </c>
      <c r="H2" s="34"/>
      <c r="I2" s="47" t="s">
        <v>97</v>
      </c>
      <c r="J2" s="48" t="s">
        <v>98</v>
      </c>
      <c r="K2" s="49" t="s">
        <v>99</v>
      </c>
      <c r="L2" s="34"/>
      <c r="M2" s="47" t="s">
        <v>97</v>
      </c>
      <c r="N2" s="48" t="s">
        <v>98</v>
      </c>
      <c r="O2" s="49" t="s">
        <v>99</v>
      </c>
    </row>
    <row r="3" spans="1:15" x14ac:dyDescent="0.25">
      <c r="A3" s="14">
        <v>45536</v>
      </c>
      <c r="B3" s="9" t="str">
        <f>"SALDO "&amp;UPPER(TEXT(A3-1,"mmmm"))</f>
        <v>SALDO AGOSTO</v>
      </c>
      <c r="C3" s="32">
        <f>'05-08 de 24'!O20</f>
        <v>-5877.48</v>
      </c>
      <c r="E3" s="14">
        <v>45566</v>
      </c>
      <c r="F3" s="9" t="str">
        <f>"SALDO "&amp;UPPER(TEXT(E3-1,"mmmm"))</f>
        <v>SALDO SETEMBRO</v>
      </c>
      <c r="G3" s="32">
        <f>C20</f>
        <v>-7936.5599999999995</v>
      </c>
      <c r="I3" s="14">
        <v>45597</v>
      </c>
      <c r="J3" s="9" t="str">
        <f>"SALDO "&amp;UPPER(TEXT(I3-1,"mmmm"))</f>
        <v>SALDO OUTUBRO</v>
      </c>
      <c r="K3" s="32">
        <f>G20</f>
        <v>-9995.64</v>
      </c>
      <c r="M3" s="14">
        <v>45627</v>
      </c>
      <c r="N3" s="9" t="str">
        <f>"SALDO "&amp;UPPER(TEXT(M3-1,"mmmm"))</f>
        <v>SALDO NOVEMBRO</v>
      </c>
      <c r="O3" s="32">
        <f>K20</f>
        <v>-12054.72</v>
      </c>
    </row>
    <row r="4" spans="1:15" x14ac:dyDescent="0.25">
      <c r="A4" s="14">
        <f>A3+28</f>
        <v>45564</v>
      </c>
      <c r="B4" s="9" t="s">
        <v>57</v>
      </c>
      <c r="C4" s="32">
        <v>-2059.08</v>
      </c>
      <c r="E4" s="14">
        <f>E3+28</f>
        <v>45594</v>
      </c>
      <c r="F4" s="9" t="s">
        <v>58</v>
      </c>
      <c r="G4" s="32">
        <v>-2059.08</v>
      </c>
      <c r="I4" s="14">
        <f>I3+28</f>
        <v>45625</v>
      </c>
      <c r="J4" s="9" t="s">
        <v>53</v>
      </c>
      <c r="K4" s="32">
        <v>-2059.08</v>
      </c>
      <c r="M4" s="14">
        <f>M3+28</f>
        <v>45655</v>
      </c>
      <c r="N4" s="9" t="s">
        <v>53</v>
      </c>
      <c r="O4" s="32">
        <v>-2059.08</v>
      </c>
    </row>
    <row r="5" spans="1:15" x14ac:dyDescent="0.25">
      <c r="A5" s="14"/>
      <c r="B5" s="9"/>
      <c r="C5" s="32"/>
      <c r="E5" s="14"/>
      <c r="F5" s="9"/>
      <c r="G5" s="32"/>
      <c r="I5" s="14"/>
      <c r="J5" s="9"/>
      <c r="K5" s="32"/>
      <c r="M5" s="14"/>
      <c r="N5" s="9"/>
      <c r="O5" s="32"/>
    </row>
    <row r="6" spans="1:15" x14ac:dyDescent="0.25">
      <c r="A6" s="14"/>
      <c r="B6" s="9"/>
      <c r="C6" s="32"/>
      <c r="E6" s="14"/>
      <c r="F6" s="9"/>
      <c r="G6" s="32"/>
      <c r="I6" s="14"/>
      <c r="J6" s="9"/>
      <c r="K6" s="32"/>
      <c r="M6" s="14"/>
      <c r="N6" s="9"/>
      <c r="O6" s="32"/>
    </row>
    <row r="7" spans="1:15" x14ac:dyDescent="0.25">
      <c r="A7" s="14"/>
      <c r="B7" s="9"/>
      <c r="C7" s="32"/>
      <c r="E7" s="14"/>
      <c r="F7" s="9"/>
      <c r="G7" s="32"/>
      <c r="I7" s="14"/>
      <c r="J7" s="9"/>
      <c r="K7" s="32"/>
      <c r="M7" s="14"/>
      <c r="N7" s="9"/>
      <c r="O7" s="32"/>
    </row>
    <row r="8" spans="1:15" x14ac:dyDescent="0.25">
      <c r="A8" s="14"/>
      <c r="B8" s="9"/>
      <c r="C8" s="32"/>
      <c r="E8" s="14"/>
      <c r="F8" s="9"/>
      <c r="G8" s="32"/>
      <c r="I8" s="14"/>
      <c r="J8" s="9"/>
      <c r="K8" s="32"/>
      <c r="M8" s="14"/>
      <c r="N8" s="9"/>
      <c r="O8" s="32"/>
    </row>
    <row r="9" spans="1:15" ht="4.5" customHeight="1" x14ac:dyDescent="0.25">
      <c r="A9" s="39"/>
      <c r="C9" s="38"/>
      <c r="E9" s="39"/>
      <c r="G9" s="38"/>
      <c r="I9" s="39"/>
      <c r="K9" s="38"/>
      <c r="M9" s="39"/>
      <c r="O9" s="38"/>
    </row>
    <row r="10" spans="1:15" ht="15.75" customHeight="1" x14ac:dyDescent="0.25">
      <c r="A10" s="50" t="s">
        <v>109</v>
      </c>
      <c r="B10" s="51">
        <f>A3</f>
        <v>45536</v>
      </c>
      <c r="C10" s="52">
        <f>SUM(C3:C8)</f>
        <v>-7936.5599999999995</v>
      </c>
      <c r="E10" s="50" t="s">
        <v>109</v>
      </c>
      <c r="F10" s="51">
        <f>E3</f>
        <v>45566</v>
      </c>
      <c r="G10" s="52">
        <f>SUM(G3:G8)</f>
        <v>-9995.64</v>
      </c>
      <c r="I10" s="50" t="s">
        <v>109</v>
      </c>
      <c r="J10" s="51">
        <f>I3</f>
        <v>45597</v>
      </c>
      <c r="K10" s="52">
        <f>SUM(K3:K8)</f>
        <v>-12054.72</v>
      </c>
      <c r="M10" s="50" t="s">
        <v>109</v>
      </c>
      <c r="N10" s="51">
        <f>M3</f>
        <v>45627</v>
      </c>
      <c r="O10" s="52">
        <f>SUM(O3:O8)</f>
        <v>-14113.8</v>
      </c>
    </row>
    <row r="11" spans="1:15" ht="15.75" customHeight="1" x14ac:dyDescent="0.25">
      <c r="C11" s="40"/>
      <c r="E11" s="41"/>
      <c r="G11" s="40"/>
      <c r="I11" s="41"/>
      <c r="K11" s="40"/>
      <c r="M11" s="41"/>
      <c r="O11" s="40"/>
    </row>
    <row r="12" spans="1:15" x14ac:dyDescent="0.25">
      <c r="A12" s="53"/>
      <c r="B12" s="54"/>
      <c r="C12" s="55"/>
      <c r="D12" s="37"/>
      <c r="E12" s="53"/>
      <c r="F12" s="54"/>
      <c r="G12" s="55"/>
      <c r="H12" s="37"/>
      <c r="I12" s="53"/>
      <c r="J12" s="54"/>
      <c r="K12" s="55"/>
      <c r="L12" s="37"/>
      <c r="M12" s="53"/>
      <c r="N12" s="54"/>
      <c r="O12" s="55"/>
    </row>
    <row r="13" spans="1:15" x14ac:dyDescent="0.25">
      <c r="A13" s="53"/>
      <c r="B13" s="54"/>
      <c r="C13" s="55"/>
      <c r="D13" s="37"/>
      <c r="E13" s="53"/>
      <c r="F13" s="54"/>
      <c r="G13" s="55"/>
      <c r="H13" s="37"/>
      <c r="I13" s="53"/>
      <c r="J13" s="54"/>
      <c r="K13" s="55"/>
      <c r="L13" s="37"/>
      <c r="M13" s="53"/>
      <c r="N13" s="54"/>
      <c r="O13" s="55"/>
    </row>
    <row r="14" spans="1:15" x14ac:dyDescent="0.25">
      <c r="A14" s="53"/>
      <c r="B14" s="54"/>
      <c r="C14" s="55"/>
      <c r="D14" s="37"/>
      <c r="E14" s="53"/>
      <c r="F14" s="54"/>
      <c r="G14" s="55"/>
      <c r="H14" s="37"/>
      <c r="I14" s="53"/>
      <c r="J14" s="54"/>
      <c r="K14" s="55"/>
      <c r="L14" s="37"/>
      <c r="M14" s="53"/>
      <c r="N14" s="54"/>
      <c r="O14" s="55"/>
    </row>
    <row r="15" spans="1:15" x14ac:dyDescent="0.25">
      <c r="A15" s="53"/>
      <c r="B15" s="54"/>
      <c r="C15" s="55"/>
      <c r="D15" s="37"/>
      <c r="E15" s="53"/>
      <c r="F15" s="54"/>
      <c r="G15" s="55"/>
      <c r="H15" s="37"/>
      <c r="I15" s="53"/>
      <c r="J15" s="54"/>
      <c r="K15" s="55"/>
      <c r="L15" s="37"/>
      <c r="M15" s="53"/>
      <c r="N15" s="54"/>
      <c r="O15" s="55"/>
    </row>
    <row r="16" spans="1:15" x14ac:dyDescent="0.25">
      <c r="A16" s="53"/>
      <c r="B16" s="54"/>
      <c r="C16" s="55"/>
      <c r="D16" s="37"/>
      <c r="E16" s="53"/>
      <c r="F16" s="54"/>
      <c r="G16" s="55"/>
      <c r="H16" s="37"/>
      <c r="I16" s="53"/>
      <c r="J16" s="54"/>
      <c r="K16" s="55"/>
      <c r="L16" s="37"/>
      <c r="M16" s="53"/>
      <c r="N16" s="54"/>
      <c r="O16" s="55"/>
    </row>
    <row r="17" spans="1:15" x14ac:dyDescent="0.25">
      <c r="A17" s="39"/>
      <c r="C17" s="38"/>
      <c r="E17" s="39"/>
      <c r="G17" s="38"/>
      <c r="H17" s="37"/>
      <c r="I17" s="39"/>
      <c r="K17" s="38"/>
      <c r="L17" s="37"/>
      <c r="M17" s="39"/>
      <c r="O17" s="38"/>
    </row>
    <row r="18" spans="1:15" ht="15.75" customHeight="1" x14ac:dyDescent="0.25">
      <c r="A18" s="56" t="s">
        <v>3</v>
      </c>
      <c r="B18" s="54" t="s">
        <v>110</v>
      </c>
      <c r="C18" s="57">
        <f>SUM(C12:C16)</f>
        <v>0</v>
      </c>
      <c r="D18" s="37"/>
      <c r="E18" s="56" t="s">
        <v>3</v>
      </c>
      <c r="F18" s="54" t="s">
        <v>110</v>
      </c>
      <c r="G18" s="57">
        <f>SUM(G12:G16)</f>
        <v>0</v>
      </c>
      <c r="H18" s="37"/>
      <c r="I18" s="56" t="s">
        <v>3</v>
      </c>
      <c r="J18" s="54" t="s">
        <v>110</v>
      </c>
      <c r="K18" s="57">
        <f>SUM(K12:K16)</f>
        <v>0</v>
      </c>
      <c r="L18" s="37"/>
      <c r="M18" s="56" t="s">
        <v>3</v>
      </c>
      <c r="N18" s="54" t="s">
        <v>110</v>
      </c>
      <c r="O18" s="57">
        <f>SUM(O12:O16)</f>
        <v>0</v>
      </c>
    </row>
    <row r="19" spans="1:15" x14ac:dyDescent="0.25">
      <c r="A19" s="39"/>
      <c r="C19" s="44"/>
      <c r="E19" s="39"/>
      <c r="G19" s="44"/>
      <c r="I19" s="39"/>
      <c r="K19" s="44"/>
      <c r="M19" s="39"/>
      <c r="O19" s="44"/>
    </row>
    <row r="20" spans="1:15" ht="15.75" customHeight="1" x14ac:dyDescent="0.25">
      <c r="A20" s="28" t="s">
        <v>111</v>
      </c>
      <c r="B20" s="30">
        <f>B10</f>
        <v>45536</v>
      </c>
      <c r="C20" s="25">
        <f>C10+C18</f>
        <v>-7936.5599999999995</v>
      </c>
      <c r="E20" s="28" t="s">
        <v>111</v>
      </c>
      <c r="F20" s="30">
        <f>F10</f>
        <v>45566</v>
      </c>
      <c r="G20" s="25">
        <f>G10+G18</f>
        <v>-9995.64</v>
      </c>
      <c r="I20" s="28" t="s">
        <v>111</v>
      </c>
      <c r="J20" s="30">
        <f>J10</f>
        <v>45597</v>
      </c>
      <c r="K20" s="25">
        <f>K10+K18</f>
        <v>-12054.72</v>
      </c>
      <c r="M20" s="28" t="s">
        <v>111</v>
      </c>
      <c r="N20" s="30">
        <f>N10</f>
        <v>45627</v>
      </c>
      <c r="O20" s="25">
        <f>O10+O18</f>
        <v>-14113.8</v>
      </c>
    </row>
    <row r="21" spans="1:15" x14ac:dyDescent="0.25">
      <c r="A21" s="39"/>
      <c r="C21" s="44"/>
      <c r="G21" s="45"/>
      <c r="K21" s="45"/>
      <c r="O21" s="45"/>
    </row>
    <row r="22" spans="1:15" x14ac:dyDescent="0.25">
      <c r="A22" s="39"/>
      <c r="C22" s="38">
        <f>C20*8%</f>
        <v>-634.9248</v>
      </c>
      <c r="G22" s="38">
        <f>G20*8%</f>
        <v>-799.65120000000002</v>
      </c>
      <c r="K22" s="38">
        <f>K20*8%</f>
        <v>-964.37759999999992</v>
      </c>
      <c r="O22" s="38">
        <f>O20*8%</f>
        <v>-1129.104</v>
      </c>
    </row>
    <row r="23" spans="1:15" x14ac:dyDescent="0.25">
      <c r="A23" s="39"/>
      <c r="C23" s="44">
        <f>C22+'05-08 de 24'!O23</f>
        <v>-2975.031905452237</v>
      </c>
      <c r="G23" s="38">
        <f>G22+C23</f>
        <v>-3774.6831054522372</v>
      </c>
      <c r="K23" s="38">
        <f>K22+G23</f>
        <v>-4739.060705452237</v>
      </c>
      <c r="O23" s="38">
        <f>O22+K23</f>
        <v>-5868.1647054522373</v>
      </c>
    </row>
    <row r="24" spans="1:15" x14ac:dyDescent="0.25">
      <c r="K24" s="45"/>
    </row>
  </sheetData>
  <mergeCells count="4">
    <mergeCell ref="A1:C1"/>
    <mergeCell ref="E1:G1"/>
    <mergeCell ref="I1:K1"/>
    <mergeCell ref="M1:O1"/>
  </mergeCells>
  <conditionalFormatting sqref="C7:C8">
    <cfRule type="expression" dxfId="708" priority="24">
      <formula>$D6&lt;&gt;""</formula>
    </cfRule>
  </conditionalFormatting>
  <conditionalFormatting sqref="C12:C16">
    <cfRule type="expression" dxfId="707" priority="27">
      <formula>$D12&lt;&gt;""</formula>
    </cfRule>
  </conditionalFormatting>
  <conditionalFormatting sqref="A4:C4">
    <cfRule type="expression" dxfId="706" priority="26">
      <formula>$D3&lt;&gt;""</formula>
    </cfRule>
  </conditionalFormatting>
  <conditionalFormatting sqref="A5:B5">
    <cfRule type="expression" dxfId="705" priority="25">
      <formula>$D4&lt;&gt;""</formula>
    </cfRule>
  </conditionalFormatting>
  <conditionalFormatting sqref="C5">
    <cfRule type="expression" dxfId="704" priority="23">
      <formula>$D4&lt;&gt;""</formula>
    </cfRule>
  </conditionalFormatting>
  <conditionalFormatting sqref="C6">
    <cfRule type="expression" dxfId="703" priority="22">
      <formula>$D5&lt;&gt;""</formula>
    </cfRule>
  </conditionalFormatting>
  <conditionalFormatting sqref="C3">
    <cfRule type="expression" dxfId="702" priority="28">
      <formula>#REF!&lt;&gt;""</formula>
    </cfRule>
  </conditionalFormatting>
  <conditionalFormatting sqref="G7:G8">
    <cfRule type="expression" dxfId="701" priority="17">
      <formula>$D6&lt;&gt;""</formula>
    </cfRule>
  </conditionalFormatting>
  <conditionalFormatting sqref="G12:G16">
    <cfRule type="expression" dxfId="700" priority="20">
      <formula>$D12&lt;&gt;""</formula>
    </cfRule>
  </conditionalFormatting>
  <conditionalFormatting sqref="E4:G4">
    <cfRule type="expression" dxfId="699" priority="19">
      <formula>$D3&lt;&gt;""</formula>
    </cfRule>
  </conditionalFormatting>
  <conditionalFormatting sqref="E5:F5">
    <cfRule type="expression" dxfId="698" priority="18">
      <formula>$D4&lt;&gt;""</formula>
    </cfRule>
  </conditionalFormatting>
  <conditionalFormatting sqref="G5">
    <cfRule type="expression" dxfId="697" priority="16">
      <formula>$D4&lt;&gt;""</formula>
    </cfRule>
  </conditionalFormatting>
  <conditionalFormatting sqref="G6">
    <cfRule type="expression" dxfId="696" priority="15">
      <formula>$D5&lt;&gt;""</formula>
    </cfRule>
  </conditionalFormatting>
  <conditionalFormatting sqref="G3">
    <cfRule type="expression" dxfId="695" priority="21">
      <formula>#REF!&lt;&gt;""</formula>
    </cfRule>
  </conditionalFormatting>
  <conditionalFormatting sqref="K7:K8">
    <cfRule type="expression" dxfId="694" priority="10">
      <formula>$D6&lt;&gt;""</formula>
    </cfRule>
  </conditionalFormatting>
  <conditionalFormatting sqref="K12:K16">
    <cfRule type="expression" dxfId="693" priority="13">
      <formula>$D12&lt;&gt;""</formula>
    </cfRule>
  </conditionalFormatting>
  <conditionalFormatting sqref="I4:K4">
    <cfRule type="expression" dxfId="692" priority="12">
      <formula>$D3&lt;&gt;""</formula>
    </cfRule>
  </conditionalFormatting>
  <conditionalFormatting sqref="I5:J5">
    <cfRule type="expression" dxfId="691" priority="11">
      <formula>$D4&lt;&gt;""</formula>
    </cfRule>
  </conditionalFormatting>
  <conditionalFormatting sqref="K5">
    <cfRule type="expression" dxfId="690" priority="9">
      <formula>$D4&lt;&gt;""</formula>
    </cfRule>
  </conditionalFormatting>
  <conditionalFormatting sqref="K6">
    <cfRule type="expression" dxfId="689" priority="8">
      <formula>$D5&lt;&gt;""</formula>
    </cfRule>
  </conditionalFormatting>
  <conditionalFormatting sqref="K3">
    <cfRule type="expression" dxfId="688" priority="14">
      <formula>#REF!&lt;&gt;""</formula>
    </cfRule>
  </conditionalFormatting>
  <conditionalFormatting sqref="O7:O8">
    <cfRule type="expression" dxfId="687" priority="3">
      <formula>$D6&lt;&gt;""</formula>
    </cfRule>
  </conditionalFormatting>
  <conditionalFormatting sqref="O12:O16">
    <cfRule type="expression" dxfId="686" priority="6">
      <formula>$D12&lt;&gt;""</formula>
    </cfRule>
  </conditionalFormatting>
  <conditionalFormatting sqref="M4:O4">
    <cfRule type="expression" dxfId="685" priority="5">
      <formula>$D3&lt;&gt;""</formula>
    </cfRule>
  </conditionalFormatting>
  <conditionalFormatting sqref="M5:N5">
    <cfRule type="expression" dxfId="684" priority="4">
      <formula>$D4&lt;&gt;""</formula>
    </cfRule>
  </conditionalFormatting>
  <conditionalFormatting sqref="O5">
    <cfRule type="expression" dxfId="683" priority="2">
      <formula>$D4&lt;&gt;""</formula>
    </cfRule>
  </conditionalFormatting>
  <conditionalFormatting sqref="O6">
    <cfRule type="expression" dxfId="682" priority="1">
      <formula>$D5&lt;&gt;""</formula>
    </cfRule>
  </conditionalFormatting>
  <conditionalFormatting sqref="O3">
    <cfRule type="expression" dxfId="681" priority="7">
      <formula>#REF!&lt;&gt;""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2:O119"/>
  <sheetViews>
    <sheetView showGridLines="0" topLeftCell="A81" zoomScale="90" zoomScaleNormal="90" workbookViewId="0">
      <selection activeCell="Q87" sqref="Q87"/>
    </sheetView>
  </sheetViews>
  <sheetFormatPr defaultColWidth="9.140625" defaultRowHeight="15" x14ac:dyDescent="0.25"/>
  <cols>
    <col min="1" max="1" width="10" style="2" bestFit="1" customWidth="1"/>
    <col min="2" max="2" width="28.140625" style="2" bestFit="1" customWidth="1"/>
    <col min="3" max="3" width="12.7109375" style="2" bestFit="1" customWidth="1"/>
    <col min="4" max="4" width="2.42578125" style="2" customWidth="1"/>
    <col min="5" max="5" width="10" style="2" bestFit="1" customWidth="1"/>
    <col min="6" max="6" width="27.85546875" style="2" bestFit="1" customWidth="1"/>
    <col min="7" max="7" width="14" style="2" bestFit="1" customWidth="1"/>
    <col min="8" max="8" width="2.7109375" style="2" customWidth="1"/>
    <col min="9" max="9" width="10" style="2" bestFit="1" customWidth="1"/>
    <col min="10" max="10" width="27.85546875" style="2" bestFit="1" customWidth="1"/>
    <col min="11" max="11" width="14" style="2" bestFit="1" customWidth="1"/>
    <col min="12" max="12" width="2.5703125" style="2" customWidth="1"/>
    <col min="13" max="13" width="10" style="2" bestFit="1" customWidth="1"/>
    <col min="14" max="14" width="29.140625" style="2" bestFit="1" customWidth="1"/>
    <col min="15" max="15" width="14" style="2" bestFit="1" customWidth="1"/>
    <col min="16" max="16" width="9.140625" style="2" customWidth="1"/>
    <col min="17" max="16384" width="9.140625" style="2"/>
  </cols>
  <sheetData>
    <row r="2" spans="1:15" ht="20.25" customHeight="1" x14ac:dyDescent="0.3">
      <c r="A2" s="112" t="str">
        <f>UPPER(TEXT(A4,"mmmm")&amp;" "&amp;TEXT(A4,"aaaa"))</f>
        <v>MAIO 2023</v>
      </c>
      <c r="B2" s="113"/>
      <c r="C2" s="113"/>
      <c r="D2" s="61"/>
      <c r="E2" s="112" t="str">
        <f>UPPER(TEXT(E4,"mmmm")&amp;" "&amp;TEXT(E4,"aaaa"))</f>
        <v>JUNHO 2023</v>
      </c>
      <c r="F2" s="113"/>
      <c r="G2" s="113"/>
      <c r="H2" s="61"/>
      <c r="I2" s="112" t="str">
        <f>UPPER(TEXT(I4,"mmmm")&amp;" "&amp;TEXT(I4,"aaaa"))</f>
        <v>JULHO 2023</v>
      </c>
      <c r="J2" s="113"/>
      <c r="K2" s="113"/>
      <c r="L2" s="61"/>
      <c r="M2" s="112" t="str">
        <f>UPPER(TEXT(M4,"mmmm")&amp;" "&amp;TEXT(M4,"aaaa"))</f>
        <v>AGOSTO 2023</v>
      </c>
      <c r="N2" s="113"/>
      <c r="O2" s="113"/>
    </row>
    <row r="3" spans="1:15" x14ac:dyDescent="0.25">
      <c r="A3" s="47" t="s">
        <v>97</v>
      </c>
      <c r="B3" s="48" t="s">
        <v>98</v>
      </c>
      <c r="C3" s="49" t="s">
        <v>99</v>
      </c>
      <c r="D3" s="61"/>
      <c r="E3" s="47" t="s">
        <v>97</v>
      </c>
      <c r="F3" s="48" t="s">
        <v>98</v>
      </c>
      <c r="G3" s="49" t="s">
        <v>99</v>
      </c>
      <c r="H3" s="61"/>
      <c r="I3" s="47" t="s">
        <v>97</v>
      </c>
      <c r="J3" s="48" t="s">
        <v>98</v>
      </c>
      <c r="K3" s="49" t="s">
        <v>99</v>
      </c>
      <c r="L3" s="61"/>
      <c r="M3" s="47" t="s">
        <v>97</v>
      </c>
      <c r="N3" s="48" t="s">
        <v>98</v>
      </c>
      <c r="O3" s="49" t="s">
        <v>99</v>
      </c>
    </row>
    <row r="4" spans="1:15" x14ac:dyDescent="0.25">
      <c r="A4" s="66">
        <v>45047</v>
      </c>
      <c r="B4" s="67" t="s">
        <v>113</v>
      </c>
      <c r="C4" s="32">
        <v>-500</v>
      </c>
      <c r="D4" s="61"/>
      <c r="E4" s="66">
        <v>45078</v>
      </c>
      <c r="F4" s="67" t="s">
        <v>113</v>
      </c>
      <c r="G4" s="32">
        <f>C25</f>
        <v>-94.150000000000546</v>
      </c>
      <c r="H4" s="61"/>
      <c r="I4" s="66">
        <v>45108</v>
      </c>
      <c r="J4" s="67" t="s">
        <v>113</v>
      </c>
      <c r="K4" s="32">
        <f>G25</f>
        <v>-1483.6320000000014</v>
      </c>
      <c r="L4" s="61"/>
      <c r="M4" s="66">
        <v>45139</v>
      </c>
      <c r="N4" s="67" t="s">
        <v>113</v>
      </c>
      <c r="O4" s="32">
        <f>K25</f>
        <v>-1040.2725600000022</v>
      </c>
    </row>
    <row r="5" spans="1:15" x14ac:dyDescent="0.25">
      <c r="A5" s="66">
        <v>45075</v>
      </c>
      <c r="B5" s="67" t="s">
        <v>114</v>
      </c>
      <c r="C5" s="32">
        <v>-2762.92</v>
      </c>
      <c r="D5" s="61"/>
      <c r="E5" s="66">
        <v>45107</v>
      </c>
      <c r="F5" s="67" t="s">
        <v>42</v>
      </c>
      <c r="G5" s="32">
        <v>-2060.08</v>
      </c>
      <c r="H5" s="61"/>
      <c r="I5" s="66">
        <v>45136</v>
      </c>
      <c r="J5" s="67" t="s">
        <v>43</v>
      </c>
      <c r="K5" s="32">
        <v>-2060.08</v>
      </c>
      <c r="L5" s="61"/>
      <c r="M5" s="66">
        <v>45167</v>
      </c>
      <c r="N5" s="67" t="s">
        <v>44</v>
      </c>
      <c r="O5" s="32">
        <v>-2060.08</v>
      </c>
    </row>
    <row r="6" spans="1:15" x14ac:dyDescent="0.25">
      <c r="A6" s="66">
        <v>45076</v>
      </c>
      <c r="B6" s="67" t="s">
        <v>115</v>
      </c>
      <c r="C6" s="32">
        <v>-2060.08</v>
      </c>
      <c r="D6" s="61"/>
      <c r="E6" s="66">
        <v>45106</v>
      </c>
      <c r="F6" s="67" t="s">
        <v>88</v>
      </c>
      <c r="G6" s="32">
        <v>-2762.92</v>
      </c>
      <c r="H6" s="61"/>
      <c r="I6" s="66">
        <v>45137</v>
      </c>
      <c r="J6" s="67" t="s">
        <v>89</v>
      </c>
      <c r="K6" s="32">
        <v>-2762.92</v>
      </c>
      <c r="L6" s="61"/>
      <c r="M6" s="66">
        <v>45168</v>
      </c>
      <c r="N6" s="67" t="s">
        <v>90</v>
      </c>
      <c r="O6" s="32">
        <v>-2762.92</v>
      </c>
    </row>
    <row r="7" spans="1:15" x14ac:dyDescent="0.25">
      <c r="A7" s="66">
        <v>45046</v>
      </c>
      <c r="B7" s="67" t="s">
        <v>116</v>
      </c>
      <c r="C7" s="32">
        <v>-33.340000000000003</v>
      </c>
      <c r="D7" s="61"/>
      <c r="E7" s="66">
        <v>45078</v>
      </c>
      <c r="F7" s="67" t="s">
        <v>117</v>
      </c>
      <c r="G7" s="32">
        <v>-387.81</v>
      </c>
      <c r="H7" s="61"/>
      <c r="I7" s="66">
        <v>45108</v>
      </c>
      <c r="J7" s="67" t="s">
        <v>118</v>
      </c>
      <c r="K7" s="32">
        <v>-387.81</v>
      </c>
      <c r="L7" s="61"/>
      <c r="M7" s="66">
        <v>45139</v>
      </c>
      <c r="N7" s="67" t="s">
        <v>119</v>
      </c>
      <c r="O7" s="32">
        <v>-356.08</v>
      </c>
    </row>
    <row r="8" spans="1:15" x14ac:dyDescent="0.25">
      <c r="A8" s="66">
        <v>45046</v>
      </c>
      <c r="B8" s="67" t="s">
        <v>120</v>
      </c>
      <c r="C8" s="32">
        <v>-170</v>
      </c>
      <c r="D8" s="61"/>
      <c r="E8" s="66">
        <v>45079</v>
      </c>
      <c r="F8" s="67" t="s">
        <v>117</v>
      </c>
      <c r="G8" s="32">
        <v>-581.72</v>
      </c>
      <c r="H8" s="61"/>
      <c r="I8" s="66">
        <v>45109</v>
      </c>
      <c r="J8" s="67" t="s">
        <v>118</v>
      </c>
      <c r="K8" s="32">
        <v>-581.72</v>
      </c>
      <c r="L8" s="61"/>
      <c r="M8" s="66"/>
      <c r="N8" s="67"/>
      <c r="O8" s="32"/>
    </row>
    <row r="9" spans="1:15" x14ac:dyDescent="0.25">
      <c r="A9" s="66">
        <v>45046</v>
      </c>
      <c r="B9" s="67" t="s">
        <v>121</v>
      </c>
      <c r="C9" s="32">
        <f>-99-123.21</f>
        <v>-222.20999999999998</v>
      </c>
      <c r="D9" s="61"/>
      <c r="E9" s="66">
        <v>45078</v>
      </c>
      <c r="F9" s="67" t="s">
        <v>122</v>
      </c>
      <c r="G9" s="32">
        <v>-356.08</v>
      </c>
      <c r="H9" s="61"/>
      <c r="I9" s="66">
        <v>45108</v>
      </c>
      <c r="J9" s="67" t="s">
        <v>123</v>
      </c>
      <c r="K9" s="32">
        <v>-356.08</v>
      </c>
      <c r="L9" s="61"/>
      <c r="M9" s="66"/>
      <c r="N9" s="67"/>
      <c r="O9" s="32"/>
    </row>
    <row r="10" spans="1:15" x14ac:dyDescent="0.25">
      <c r="A10" s="66">
        <v>45047</v>
      </c>
      <c r="B10" s="67" t="s">
        <v>124</v>
      </c>
      <c r="C10" s="32">
        <v>-387.81</v>
      </c>
      <c r="D10" s="61"/>
      <c r="E10" s="66">
        <v>45076</v>
      </c>
      <c r="F10" s="67" t="s">
        <v>125</v>
      </c>
      <c r="G10" s="32">
        <v>-33.340000000000003</v>
      </c>
      <c r="H10" s="61"/>
      <c r="I10" s="66">
        <v>45107</v>
      </c>
      <c r="J10" s="67" t="s">
        <v>126</v>
      </c>
      <c r="K10" s="32">
        <v>-33.340000000000003</v>
      </c>
      <c r="L10" s="61"/>
      <c r="M10" s="66"/>
      <c r="N10" s="67"/>
      <c r="O10" s="32"/>
    </row>
    <row r="11" spans="1:15" x14ac:dyDescent="0.25">
      <c r="A11" s="66">
        <v>45047</v>
      </c>
      <c r="B11" s="67" t="s">
        <v>127</v>
      </c>
      <c r="C11" s="32">
        <v>-356.08</v>
      </c>
      <c r="D11" s="45"/>
      <c r="E11" s="66"/>
      <c r="F11" s="67"/>
      <c r="G11" s="32"/>
      <c r="H11" s="45"/>
      <c r="I11" s="66"/>
      <c r="J11" s="67"/>
      <c r="K11" s="32"/>
      <c r="L11" s="45"/>
      <c r="M11" s="66"/>
      <c r="N11" s="67"/>
      <c r="O11" s="32"/>
    </row>
    <row r="12" spans="1:15" x14ac:dyDescent="0.25">
      <c r="A12" s="66">
        <v>45047</v>
      </c>
      <c r="B12" s="67" t="s">
        <v>128</v>
      </c>
      <c r="C12" s="32">
        <v>-19.989999999999998</v>
      </c>
      <c r="D12" s="61"/>
      <c r="E12" s="66"/>
      <c r="F12" s="67"/>
      <c r="G12" s="32"/>
      <c r="H12" s="61"/>
      <c r="I12" s="66"/>
      <c r="J12" s="67"/>
      <c r="K12" s="32"/>
      <c r="L12" s="61"/>
      <c r="M12" s="66"/>
      <c r="N12" s="67"/>
      <c r="O12" s="32"/>
    </row>
    <row r="13" spans="1:15" x14ac:dyDescent="0.25">
      <c r="A13" s="66">
        <v>45048</v>
      </c>
      <c r="B13" s="67" t="s">
        <v>124</v>
      </c>
      <c r="C13" s="32">
        <v>-581.72</v>
      </c>
      <c r="D13" s="61"/>
      <c r="E13" s="66">
        <f>IF(C27&lt;0,E4,"")</f>
        <v>45078</v>
      </c>
      <c r="F13" s="67" t="str">
        <f>IF(C27&lt;0,"Juros 8% Mês "&amp;A2,"")</f>
        <v>Juros 8% Mês MAIO 2023</v>
      </c>
      <c r="G13" s="32">
        <f>C27</f>
        <v>-7.5320000000000435</v>
      </c>
      <c r="H13" s="61"/>
      <c r="I13" s="66">
        <f>IF(G27&lt;0,I4,"")</f>
        <v>45108</v>
      </c>
      <c r="J13" s="67" t="str">
        <f>IF(G27&lt;0,"Juros 8% Mês "&amp;E2,"")</f>
        <v>Juros 8% Mês JUNHO 2023</v>
      </c>
      <c r="K13" s="32">
        <f>G27</f>
        <v>-118.69056000000012</v>
      </c>
      <c r="L13" s="61"/>
      <c r="M13" s="66">
        <f>IF(K27&lt;0,M4,"")</f>
        <v>45139</v>
      </c>
      <c r="N13" s="67" t="str">
        <f>IF(K27&lt;0,"Juros 8% Mês "&amp;I2,"")</f>
        <v>Juros 8% Mês JULHO 2023</v>
      </c>
      <c r="O13" s="32">
        <f>K27</f>
        <v>-83.221804800000172</v>
      </c>
    </row>
    <row r="14" spans="1:15" ht="3" customHeight="1" x14ac:dyDescent="0.25">
      <c r="A14" s="47"/>
      <c r="B14" s="61"/>
      <c r="C14" s="42"/>
      <c r="D14" s="61"/>
      <c r="E14" s="47"/>
      <c r="F14" s="61"/>
      <c r="G14" s="42"/>
      <c r="H14" s="61"/>
      <c r="I14" s="47"/>
      <c r="J14" s="61"/>
      <c r="K14" s="42"/>
      <c r="L14" s="61"/>
      <c r="M14" s="47"/>
      <c r="N14" s="61"/>
      <c r="O14" s="42"/>
    </row>
    <row r="15" spans="1:15" ht="15.75" customHeight="1" x14ac:dyDescent="0.25">
      <c r="A15" s="68" t="s">
        <v>109</v>
      </c>
      <c r="B15" s="69">
        <f>A4</f>
        <v>45047</v>
      </c>
      <c r="C15" s="52">
        <f>SUM(C4:C13)</f>
        <v>-7094.1500000000005</v>
      </c>
      <c r="D15" s="45"/>
      <c r="E15" s="68" t="s">
        <v>109</v>
      </c>
      <c r="F15" s="69">
        <f>E4</f>
        <v>45078</v>
      </c>
      <c r="G15" s="52">
        <f>SUM(G4:G13)</f>
        <v>-6283.6320000000014</v>
      </c>
      <c r="H15" s="45"/>
      <c r="I15" s="68" t="s">
        <v>109</v>
      </c>
      <c r="J15" s="69">
        <f>I4</f>
        <v>45108</v>
      </c>
      <c r="K15" s="52">
        <f>SUM(K4:K13)</f>
        <v>-7784.2725600000022</v>
      </c>
      <c r="L15" s="45"/>
      <c r="M15" s="68" t="s">
        <v>109</v>
      </c>
      <c r="N15" s="69">
        <f>M4</f>
        <v>45139</v>
      </c>
      <c r="O15" s="52">
        <f>SUM(O5:O13)</f>
        <v>-5262.3018048000004</v>
      </c>
    </row>
    <row r="16" spans="1:15" ht="3" customHeight="1" x14ac:dyDescent="0.25">
      <c r="A16" s="48"/>
      <c r="B16" s="61"/>
      <c r="C16" s="43"/>
      <c r="D16" s="61"/>
      <c r="E16" s="48"/>
      <c r="F16" s="61"/>
      <c r="G16" s="43"/>
      <c r="H16" s="61"/>
      <c r="I16" s="48"/>
      <c r="J16" s="61"/>
      <c r="K16" s="43"/>
      <c r="L16" s="61"/>
      <c r="M16" s="48"/>
      <c r="N16" s="61"/>
      <c r="O16" s="43"/>
    </row>
    <row r="17" spans="1:15" x14ac:dyDescent="0.25">
      <c r="A17" s="78">
        <v>45084</v>
      </c>
      <c r="B17" s="79" t="s">
        <v>31</v>
      </c>
      <c r="C17" s="80">
        <v>2000</v>
      </c>
      <c r="D17" s="61"/>
      <c r="E17" s="78">
        <v>45113</v>
      </c>
      <c r="F17" s="79" t="s">
        <v>31</v>
      </c>
      <c r="G17" s="80">
        <v>2000</v>
      </c>
      <c r="H17" s="61"/>
      <c r="I17" s="78">
        <v>45140</v>
      </c>
      <c r="J17" s="79" t="s">
        <v>31</v>
      </c>
      <c r="K17" s="80">
        <v>1300</v>
      </c>
      <c r="L17" s="61"/>
      <c r="M17" s="78">
        <v>45170</v>
      </c>
      <c r="N17" s="79" t="s">
        <v>129</v>
      </c>
      <c r="O17" s="80">
        <v>5000</v>
      </c>
    </row>
    <row r="18" spans="1:15" x14ac:dyDescent="0.25">
      <c r="A18" s="78">
        <v>45084</v>
      </c>
      <c r="B18" s="79" t="s">
        <v>32</v>
      </c>
      <c r="C18" s="80">
        <v>2000</v>
      </c>
      <c r="D18" s="61"/>
      <c r="E18" s="78">
        <v>45114</v>
      </c>
      <c r="F18" s="79" t="s">
        <v>31</v>
      </c>
      <c r="G18" s="80">
        <v>1800</v>
      </c>
      <c r="H18" s="61"/>
      <c r="I18" s="78">
        <v>45140</v>
      </c>
      <c r="J18" s="79" t="s">
        <v>130</v>
      </c>
      <c r="K18" s="80">
        <v>2000</v>
      </c>
      <c r="L18" s="61"/>
      <c r="M18" s="78">
        <v>45177</v>
      </c>
      <c r="N18" s="79" t="s">
        <v>31</v>
      </c>
      <c r="O18" s="80">
        <v>800</v>
      </c>
    </row>
    <row r="19" spans="1:15" x14ac:dyDescent="0.25">
      <c r="A19" s="78">
        <v>45086</v>
      </c>
      <c r="B19" s="79" t="s">
        <v>31</v>
      </c>
      <c r="C19" s="80">
        <v>1000</v>
      </c>
      <c r="D19" s="61"/>
      <c r="E19" s="78">
        <v>45117</v>
      </c>
      <c r="F19" s="79" t="s">
        <v>31</v>
      </c>
      <c r="G19" s="80">
        <v>1000</v>
      </c>
      <c r="H19" s="61"/>
      <c r="I19" s="78">
        <v>45141</v>
      </c>
      <c r="J19" s="79" t="s">
        <v>31</v>
      </c>
      <c r="K19" s="80">
        <v>1944</v>
      </c>
      <c r="L19" s="61"/>
      <c r="M19" s="78"/>
      <c r="N19" s="79"/>
      <c r="O19" s="80"/>
    </row>
    <row r="20" spans="1:15" x14ac:dyDescent="0.25">
      <c r="A20" s="78"/>
      <c r="B20" s="79"/>
      <c r="C20" s="80"/>
      <c r="D20" s="61"/>
      <c r="E20" s="78"/>
      <c r="F20" s="79"/>
      <c r="G20" s="80"/>
      <c r="H20" s="61"/>
      <c r="I20" s="78">
        <v>45142</v>
      </c>
      <c r="J20" s="79" t="s">
        <v>31</v>
      </c>
      <c r="K20" s="80">
        <v>1000</v>
      </c>
      <c r="L20" s="61"/>
      <c r="M20" s="78"/>
      <c r="N20" s="79"/>
      <c r="O20" s="80"/>
    </row>
    <row r="21" spans="1:15" x14ac:dyDescent="0.25">
      <c r="A21" s="78">
        <v>45107</v>
      </c>
      <c r="B21" s="79" t="s">
        <v>130</v>
      </c>
      <c r="C21" s="80">
        <v>2000</v>
      </c>
      <c r="D21" s="45"/>
      <c r="E21" s="78"/>
      <c r="F21" s="79"/>
      <c r="G21" s="80"/>
      <c r="H21" s="45"/>
      <c r="I21" s="78">
        <v>45149</v>
      </c>
      <c r="J21" s="79" t="s">
        <v>31</v>
      </c>
      <c r="K21" s="80">
        <v>500</v>
      </c>
      <c r="L21" s="45"/>
      <c r="M21" s="78"/>
      <c r="N21" s="79"/>
      <c r="O21" s="80"/>
    </row>
    <row r="22" spans="1:15" ht="3" customHeight="1" x14ac:dyDescent="0.25">
      <c r="A22" s="47"/>
      <c r="B22" s="61"/>
      <c r="C22" s="42"/>
      <c r="D22" s="61"/>
      <c r="E22" s="47"/>
      <c r="F22" s="61"/>
      <c r="G22" s="42"/>
      <c r="H22" s="61"/>
      <c r="I22" s="47"/>
      <c r="J22" s="61"/>
      <c r="K22" s="42"/>
      <c r="L22" s="61"/>
      <c r="M22" s="47"/>
      <c r="N22" s="61"/>
      <c r="O22" s="42"/>
    </row>
    <row r="23" spans="1:15" ht="15.75" customHeight="1" x14ac:dyDescent="0.25">
      <c r="A23" s="74" t="s">
        <v>131</v>
      </c>
      <c r="B23" s="73" t="s">
        <v>110</v>
      </c>
      <c r="C23" s="57">
        <f>SUM(C17:C21)</f>
        <v>7000</v>
      </c>
      <c r="D23" s="61"/>
      <c r="E23" s="74" t="s">
        <v>131</v>
      </c>
      <c r="F23" s="73" t="s">
        <v>110</v>
      </c>
      <c r="G23" s="57">
        <f>SUM(G17:G21)</f>
        <v>4800</v>
      </c>
      <c r="H23" s="61"/>
      <c r="I23" s="74" t="s">
        <v>131</v>
      </c>
      <c r="J23" s="73" t="s">
        <v>110</v>
      </c>
      <c r="K23" s="57">
        <f>SUM(K17:K21)</f>
        <v>6744</v>
      </c>
      <c r="L23" s="61"/>
      <c r="M23" s="74" t="s">
        <v>3</v>
      </c>
      <c r="N23" s="73" t="s">
        <v>110</v>
      </c>
      <c r="O23" s="57">
        <f>SUM(O17:O21)</f>
        <v>5800</v>
      </c>
    </row>
    <row r="24" spans="1:15" ht="3" customHeight="1" x14ac:dyDescent="0.25">
      <c r="A24" s="47"/>
      <c r="B24" s="61"/>
      <c r="C24" s="60"/>
      <c r="D24" s="61"/>
      <c r="E24" s="47"/>
      <c r="F24" s="61"/>
      <c r="G24" s="60"/>
      <c r="H24" s="61"/>
      <c r="I24" s="47"/>
      <c r="J24" s="61"/>
      <c r="K24" s="60"/>
      <c r="L24" s="61"/>
      <c r="M24" s="47"/>
      <c r="N24" s="61"/>
      <c r="O24" s="60"/>
    </row>
    <row r="25" spans="1:15" ht="15.75" customHeight="1" x14ac:dyDescent="0.25">
      <c r="A25" s="75" t="s">
        <v>111</v>
      </c>
      <c r="B25" s="76">
        <f>B15</f>
        <v>45047</v>
      </c>
      <c r="C25" s="25">
        <f>C15+C23</f>
        <v>-94.150000000000546</v>
      </c>
      <c r="D25" s="61"/>
      <c r="E25" s="75" t="s">
        <v>111</v>
      </c>
      <c r="F25" s="76">
        <f>F15</f>
        <v>45078</v>
      </c>
      <c r="G25" s="25">
        <f>G15+G23</f>
        <v>-1483.6320000000014</v>
      </c>
      <c r="H25" s="61"/>
      <c r="I25" s="75" t="s">
        <v>111</v>
      </c>
      <c r="J25" s="76">
        <f>J15</f>
        <v>45108</v>
      </c>
      <c r="K25" s="25">
        <f>K15+K23</f>
        <v>-1040.2725600000022</v>
      </c>
      <c r="L25" s="61"/>
      <c r="M25" s="75" t="s">
        <v>111</v>
      </c>
      <c r="N25" s="76">
        <f>N15</f>
        <v>45139</v>
      </c>
      <c r="O25" s="25">
        <f>O15+O23</f>
        <v>537.69819519999965</v>
      </c>
    </row>
    <row r="26" spans="1:15" ht="3" customHeight="1" x14ac:dyDescent="0.25">
      <c r="A26" s="47"/>
      <c r="B26" s="61"/>
      <c r="C26" s="60"/>
      <c r="D26" s="61"/>
      <c r="E26" s="47"/>
      <c r="F26" s="61"/>
      <c r="G26" s="60"/>
      <c r="H26" s="61"/>
      <c r="I26" s="47"/>
      <c r="J26" s="61"/>
      <c r="K26" s="60"/>
      <c r="L26" s="61"/>
      <c r="M26" s="47"/>
      <c r="N26" s="61"/>
      <c r="O26" s="60"/>
    </row>
    <row r="27" spans="1:15" x14ac:dyDescent="0.25">
      <c r="A27" s="77"/>
      <c r="B27" s="63" t="s">
        <v>112</v>
      </c>
      <c r="C27" s="64">
        <f>IF(C25&lt;0,C25*8%,0)</f>
        <v>-7.5320000000000435</v>
      </c>
      <c r="D27" s="61"/>
      <c r="E27" s="77"/>
      <c r="F27" s="63" t="s">
        <v>112</v>
      </c>
      <c r="G27" s="64">
        <f>IF(G25&lt;0,G25*8%,0)</f>
        <v>-118.69056000000012</v>
      </c>
      <c r="H27" s="61"/>
      <c r="I27" s="77"/>
      <c r="J27" s="63" t="s">
        <v>112</v>
      </c>
      <c r="K27" s="64">
        <f>IF(K25&lt;0,K25*8%,0)</f>
        <v>-83.221804800000172</v>
      </c>
      <c r="L27" s="61"/>
      <c r="M27" s="77"/>
      <c r="N27" s="63" t="s">
        <v>112</v>
      </c>
      <c r="O27" s="64">
        <f>IF(O25&lt;0,O25*8%,0)</f>
        <v>0</v>
      </c>
    </row>
    <row r="29" spans="1:15" ht="20.25" customHeight="1" x14ac:dyDescent="0.3">
      <c r="A29" s="112" t="str">
        <f>UPPER(TEXT(A31,"mmmm")&amp;" "&amp;TEXT(A31,"aaaa"))</f>
        <v>SETEMBRO 2023</v>
      </c>
      <c r="B29" s="113"/>
      <c r="C29" s="113"/>
      <c r="D29" s="61"/>
      <c r="E29" s="112" t="str">
        <f>UPPER(TEXT(E31,"mmmm")&amp;" "&amp;TEXT(E31,"aaaa"))</f>
        <v>OUTUBRO 2023</v>
      </c>
      <c r="F29" s="113"/>
      <c r="G29" s="113"/>
      <c r="H29" s="61"/>
      <c r="I29" s="112" t="str">
        <f>UPPER(TEXT(I31,"mmmm")&amp;" "&amp;TEXT(I31,"aaaa"))</f>
        <v>NOVEMBRO 2023</v>
      </c>
      <c r="J29" s="113"/>
      <c r="K29" s="113"/>
      <c r="L29" s="61"/>
      <c r="M29" s="112" t="str">
        <f>UPPER(TEXT(M31,"mmmm")&amp;" "&amp;TEXT(M31,"aaaa"))</f>
        <v>DEZEMBRO 2023</v>
      </c>
      <c r="N29" s="113"/>
      <c r="O29" s="113"/>
    </row>
    <row r="30" spans="1:15" x14ac:dyDescent="0.25">
      <c r="A30" s="47" t="s">
        <v>97</v>
      </c>
      <c r="B30" s="48" t="s">
        <v>98</v>
      </c>
      <c r="C30" s="49" t="s">
        <v>99</v>
      </c>
      <c r="D30" s="61"/>
      <c r="E30" s="47" t="s">
        <v>97</v>
      </c>
      <c r="F30" s="48" t="s">
        <v>98</v>
      </c>
      <c r="G30" s="49" t="s">
        <v>99</v>
      </c>
      <c r="H30" s="61"/>
      <c r="I30" s="47" t="s">
        <v>97</v>
      </c>
      <c r="J30" s="48" t="s">
        <v>98</v>
      </c>
      <c r="K30" s="49" t="s">
        <v>99</v>
      </c>
      <c r="L30" s="61"/>
      <c r="M30" s="47" t="s">
        <v>97</v>
      </c>
      <c r="N30" s="48" t="s">
        <v>98</v>
      </c>
      <c r="O30" s="49" t="s">
        <v>99</v>
      </c>
    </row>
    <row r="31" spans="1:15" x14ac:dyDescent="0.25">
      <c r="A31" s="66">
        <v>45170</v>
      </c>
      <c r="B31" s="67" t="str">
        <f>"SALDO "&amp;UPPER(TEXT(A31-1,"mmmm"))</f>
        <v>SALDO AGOSTO</v>
      </c>
      <c r="C31" s="32">
        <f>O25</f>
        <v>537.69819519999965</v>
      </c>
      <c r="D31" s="61"/>
      <c r="E31" s="66">
        <v>45200</v>
      </c>
      <c r="F31" s="67" t="str">
        <f>"SALDO "&amp;UPPER(TEXT(E31-1,"mmmm"))</f>
        <v>SALDO SETEMBRO</v>
      </c>
      <c r="G31" s="32">
        <f>C48</f>
        <v>313.61819519999972</v>
      </c>
      <c r="H31" s="61"/>
      <c r="I31" s="66">
        <v>45231</v>
      </c>
      <c r="J31" s="67" t="str">
        <f>"SALDO "&amp;UPPER(TEXT(I31-1,"mmmm"))</f>
        <v>SALDO OUTUBRO</v>
      </c>
      <c r="K31" s="32">
        <f>G48</f>
        <v>-9.3818048000002818</v>
      </c>
      <c r="L31" s="61"/>
      <c r="M31" s="66">
        <v>45261</v>
      </c>
      <c r="N31" s="67" t="str">
        <f>"SALDO "&amp;UPPER(TEXT(M31-1,"mmmm"))</f>
        <v>SALDO NOVEMBRO</v>
      </c>
      <c r="O31" s="58">
        <f>K48</f>
        <v>-883.1323491840003</v>
      </c>
    </row>
    <row r="32" spans="1:15" x14ac:dyDescent="0.25">
      <c r="A32" s="66">
        <v>45198</v>
      </c>
      <c r="B32" s="67" t="s">
        <v>45</v>
      </c>
      <c r="C32" s="58">
        <v>-2060.08</v>
      </c>
      <c r="D32" s="61"/>
      <c r="E32" s="66">
        <v>45228</v>
      </c>
      <c r="F32" s="67" t="s">
        <v>46</v>
      </c>
      <c r="G32" s="58">
        <v>-2060.08</v>
      </c>
      <c r="H32" s="61"/>
      <c r="I32" s="66">
        <v>45259</v>
      </c>
      <c r="J32" s="67" t="s">
        <v>47</v>
      </c>
      <c r="K32" s="58">
        <v>-2060.08</v>
      </c>
      <c r="L32" s="61"/>
      <c r="M32" s="66">
        <v>45289</v>
      </c>
      <c r="N32" s="67" t="s">
        <v>48</v>
      </c>
      <c r="O32" s="58">
        <v>-2060.08</v>
      </c>
    </row>
    <row r="33" spans="1:15" x14ac:dyDescent="0.25">
      <c r="A33" s="66">
        <v>45199</v>
      </c>
      <c r="B33" s="67" t="s">
        <v>91</v>
      </c>
      <c r="C33" s="58">
        <v>-2762.92</v>
      </c>
      <c r="D33" s="61"/>
      <c r="E33" s="66">
        <v>45229</v>
      </c>
      <c r="F33" s="67" t="s">
        <v>92</v>
      </c>
      <c r="G33" s="58">
        <v>-2762.92</v>
      </c>
      <c r="H33" s="61"/>
      <c r="I33" s="66">
        <v>45260</v>
      </c>
      <c r="J33" s="67" t="s">
        <v>93</v>
      </c>
      <c r="K33" s="58">
        <v>-2762.92</v>
      </c>
      <c r="L33" s="61"/>
      <c r="M33" s="66">
        <v>45290</v>
      </c>
      <c r="N33" s="67" t="s">
        <v>94</v>
      </c>
      <c r="O33" s="58">
        <v>-2762.92</v>
      </c>
    </row>
    <row r="34" spans="1:15" x14ac:dyDescent="0.25">
      <c r="A34" s="66">
        <v>45199</v>
      </c>
      <c r="B34" s="67" t="s">
        <v>132</v>
      </c>
      <c r="C34" s="58">
        <v>-356.08</v>
      </c>
      <c r="D34" s="61"/>
      <c r="E34" s="66"/>
      <c r="F34" s="67"/>
      <c r="G34" s="58"/>
      <c r="H34" s="61"/>
      <c r="I34" s="66"/>
      <c r="J34" s="67"/>
      <c r="K34" s="58"/>
      <c r="L34" s="61"/>
      <c r="M34" s="66"/>
      <c r="N34" s="67"/>
      <c r="O34" s="58"/>
    </row>
    <row r="35" spans="1:15" x14ac:dyDescent="0.25">
      <c r="A35" s="66"/>
      <c r="B35" s="67"/>
      <c r="C35" s="58"/>
      <c r="D35" s="61"/>
      <c r="E35" s="66"/>
      <c r="F35" s="67"/>
      <c r="G35" s="58"/>
      <c r="H35" s="61"/>
      <c r="I35" s="66"/>
      <c r="J35" s="67"/>
      <c r="K35" s="58"/>
      <c r="L35" s="61"/>
      <c r="M35" s="66"/>
      <c r="N35" s="67"/>
      <c r="O35" s="58"/>
    </row>
    <row r="36" spans="1:15" x14ac:dyDescent="0.25">
      <c r="A36" s="66" t="str">
        <f>IF(O27&lt;0,A31,"")</f>
        <v/>
      </c>
      <c r="B36" s="67" t="str">
        <f>IF(O27&lt;0,"Juros 8% Mês "&amp;M2,"")</f>
        <v/>
      </c>
      <c r="C36" s="32">
        <f>'05-08 de 23'!O74</f>
        <v>0</v>
      </c>
      <c r="D36" s="61"/>
      <c r="E36" s="66" t="str">
        <f>IF(C50&lt;0,E31,"")</f>
        <v/>
      </c>
      <c r="F36" s="67" t="str">
        <f>IF(C50&lt;0,"Juros 8% Mês "&amp;A29,"")</f>
        <v/>
      </c>
      <c r="G36" s="32">
        <f>C50</f>
        <v>0</v>
      </c>
      <c r="H36" s="61"/>
      <c r="I36" s="66">
        <f>IF(G50&lt;0,I31,"")</f>
        <v>45231</v>
      </c>
      <c r="J36" s="67" t="str">
        <f>IF(G50&lt;0,"Juros 8% Mês "&amp;E29,"")</f>
        <v>Juros 8% Mês OUTUBRO 2023</v>
      </c>
      <c r="K36" s="32">
        <f>G50</f>
        <v>-0.75054438400002255</v>
      </c>
      <c r="L36" s="61"/>
      <c r="M36" s="66">
        <f>IF(K50&lt;0,M31,"")</f>
        <v>45261</v>
      </c>
      <c r="N36" s="67" t="str">
        <f>IF(K50&lt;0,"Juros 8% Mês "&amp;I29,"")</f>
        <v>Juros 8% Mês NOVEMBRO 2023</v>
      </c>
      <c r="O36" s="58">
        <f>K50</f>
        <v>-70.650587934720022</v>
      </c>
    </row>
    <row r="37" spans="1:15" ht="3" customHeight="1" x14ac:dyDescent="0.25">
      <c r="A37" s="47"/>
      <c r="B37" s="61"/>
      <c r="C37" s="42"/>
      <c r="D37" s="61"/>
      <c r="E37" s="47"/>
      <c r="F37" s="61"/>
      <c r="G37" s="42"/>
      <c r="H37" s="61"/>
      <c r="I37" s="47"/>
      <c r="J37" s="61"/>
      <c r="K37" s="42"/>
      <c r="L37" s="61"/>
      <c r="M37" s="47"/>
      <c r="N37" s="61"/>
      <c r="O37" s="42"/>
    </row>
    <row r="38" spans="1:15" ht="15.75" customHeight="1" x14ac:dyDescent="0.25">
      <c r="A38" s="68" t="s">
        <v>109</v>
      </c>
      <c r="B38" s="69">
        <f>A31</f>
        <v>45170</v>
      </c>
      <c r="C38" s="52">
        <f>SUM(C31:C36)</f>
        <v>-4641.3818048000003</v>
      </c>
      <c r="D38" s="45"/>
      <c r="E38" s="68" t="s">
        <v>109</v>
      </c>
      <c r="F38" s="69">
        <f>E31</f>
        <v>45200</v>
      </c>
      <c r="G38" s="52">
        <f>SUM(G31:G36)</f>
        <v>-4509.3818048000003</v>
      </c>
      <c r="H38" s="45"/>
      <c r="I38" s="68" t="s">
        <v>109</v>
      </c>
      <c r="J38" s="69">
        <f>I31</f>
        <v>45231</v>
      </c>
      <c r="K38" s="52">
        <f>SUM(K31:K36)</f>
        <v>-4833.1323491840003</v>
      </c>
      <c r="L38" s="45"/>
      <c r="M38" s="68" t="s">
        <v>109</v>
      </c>
      <c r="N38" s="69">
        <f>M31</f>
        <v>45261</v>
      </c>
      <c r="O38" s="52">
        <f>SUM(O31:O36)</f>
        <v>-5776.7829371187199</v>
      </c>
    </row>
    <row r="39" spans="1:15" ht="3" customHeight="1" x14ac:dyDescent="0.25">
      <c r="A39" s="48"/>
      <c r="B39" s="61"/>
      <c r="C39" s="43"/>
      <c r="D39" s="61"/>
      <c r="E39" s="48"/>
      <c r="F39" s="61"/>
      <c r="G39" s="43"/>
      <c r="H39" s="61"/>
      <c r="I39" s="48"/>
      <c r="J39" s="61"/>
      <c r="K39" s="43"/>
      <c r="L39" s="61"/>
      <c r="M39" s="48"/>
      <c r="N39" s="61"/>
      <c r="O39" s="43"/>
    </row>
    <row r="40" spans="1:15" x14ac:dyDescent="0.25">
      <c r="A40" s="72">
        <v>45203</v>
      </c>
      <c r="B40" s="73" t="s">
        <v>137</v>
      </c>
      <c r="C40" s="55">
        <v>1000</v>
      </c>
      <c r="D40" s="61"/>
      <c r="E40" s="72">
        <v>45237</v>
      </c>
      <c r="F40" s="73" t="s">
        <v>138</v>
      </c>
      <c r="G40" s="55">
        <v>1000</v>
      </c>
      <c r="H40" s="61"/>
      <c r="I40" s="72">
        <v>45269</v>
      </c>
      <c r="J40" s="73" t="s">
        <v>31</v>
      </c>
      <c r="K40" s="55">
        <v>1950</v>
      </c>
      <c r="L40" s="61"/>
      <c r="M40" s="72">
        <v>45293</v>
      </c>
      <c r="N40" s="73" t="s">
        <v>31</v>
      </c>
      <c r="O40" s="55">
        <v>500</v>
      </c>
    </row>
    <row r="41" spans="1:15" x14ac:dyDescent="0.25">
      <c r="A41" s="72">
        <v>45205</v>
      </c>
      <c r="B41" s="73" t="s">
        <v>31</v>
      </c>
      <c r="C41" s="55">
        <v>1955</v>
      </c>
      <c r="D41" s="61"/>
      <c r="E41" s="72">
        <v>45238</v>
      </c>
      <c r="F41" s="73" t="s">
        <v>138</v>
      </c>
      <c r="G41" s="55">
        <v>2000</v>
      </c>
      <c r="H41" s="61"/>
      <c r="I41" s="72">
        <v>45272</v>
      </c>
      <c r="J41" s="73" t="s">
        <v>31</v>
      </c>
      <c r="K41" s="55">
        <v>500</v>
      </c>
      <c r="L41" s="61"/>
      <c r="M41" s="72">
        <v>45303</v>
      </c>
      <c r="N41" s="73" t="s">
        <v>31</v>
      </c>
      <c r="O41" s="55">
        <v>2000</v>
      </c>
    </row>
    <row r="42" spans="1:15" x14ac:dyDescent="0.25">
      <c r="A42" s="72">
        <v>45206</v>
      </c>
      <c r="B42" s="73" t="s">
        <v>31</v>
      </c>
      <c r="C42" s="55">
        <v>2000</v>
      </c>
      <c r="D42" s="61"/>
      <c r="E42" s="72">
        <v>45239</v>
      </c>
      <c r="F42" s="73" t="s">
        <v>138</v>
      </c>
      <c r="G42" s="55">
        <v>1500</v>
      </c>
      <c r="H42" s="61"/>
      <c r="I42" s="72">
        <v>45288</v>
      </c>
      <c r="J42" s="73" t="s">
        <v>31</v>
      </c>
      <c r="K42" s="55">
        <v>1500</v>
      </c>
      <c r="L42" s="61"/>
      <c r="M42" s="72">
        <v>45310</v>
      </c>
      <c r="N42" s="73" t="s">
        <v>31</v>
      </c>
      <c r="O42" s="55">
        <v>2000</v>
      </c>
    </row>
    <row r="43" spans="1:15" x14ac:dyDescent="0.25">
      <c r="A43" s="72"/>
      <c r="B43" s="73"/>
      <c r="C43" s="55"/>
      <c r="D43" s="61"/>
      <c r="E43" s="72"/>
      <c r="F43" s="73"/>
      <c r="G43" s="55"/>
      <c r="H43" s="61"/>
      <c r="I43" s="72"/>
      <c r="J43" s="73"/>
      <c r="K43" s="55"/>
      <c r="L43" s="61"/>
      <c r="M43" s="72">
        <v>45311</v>
      </c>
      <c r="N43" s="73" t="s">
        <v>31</v>
      </c>
      <c r="O43" s="55">
        <v>500</v>
      </c>
    </row>
    <row r="44" spans="1:15" x14ac:dyDescent="0.25">
      <c r="A44" s="72"/>
      <c r="B44" s="73"/>
      <c r="C44" s="55"/>
      <c r="D44" s="61"/>
      <c r="E44" s="72"/>
      <c r="F44" s="73"/>
      <c r="G44" s="55"/>
      <c r="H44" s="61"/>
      <c r="I44" s="72"/>
      <c r="J44" s="73"/>
      <c r="K44" s="55"/>
      <c r="L44" s="61"/>
      <c r="M44" s="72"/>
      <c r="N44" s="73"/>
      <c r="O44" s="55"/>
    </row>
    <row r="45" spans="1:15" ht="3" customHeight="1" x14ac:dyDescent="0.25">
      <c r="A45" s="47"/>
      <c r="B45" s="61"/>
      <c r="C45" s="42"/>
      <c r="D45" s="61"/>
      <c r="E45" s="47"/>
      <c r="F45" s="61"/>
      <c r="G45" s="42"/>
      <c r="H45" s="61"/>
      <c r="I45" s="47"/>
      <c r="J45" s="61"/>
      <c r="K45" s="42"/>
      <c r="L45" s="61"/>
      <c r="M45" s="47"/>
      <c r="N45" s="61"/>
      <c r="O45" s="42"/>
    </row>
    <row r="46" spans="1:15" ht="15.75" customHeight="1" x14ac:dyDescent="0.25">
      <c r="A46" s="74"/>
      <c r="B46" s="73" t="s">
        <v>104</v>
      </c>
      <c r="C46" s="57">
        <f>SUM(C40:C44)</f>
        <v>4955</v>
      </c>
      <c r="D46" s="61"/>
      <c r="E46" s="74"/>
      <c r="F46" s="73" t="s">
        <v>104</v>
      </c>
      <c r="G46" s="57">
        <f>SUM(G40:G44)</f>
        <v>4500</v>
      </c>
      <c r="H46" s="61"/>
      <c r="I46" s="74"/>
      <c r="J46" s="73" t="s">
        <v>104</v>
      </c>
      <c r="K46" s="57">
        <f>SUM(K40:K44)</f>
        <v>3950</v>
      </c>
      <c r="L46" s="61"/>
      <c r="M46" s="74"/>
      <c r="N46" s="73" t="s">
        <v>104</v>
      </c>
      <c r="O46" s="57">
        <f>SUM(O40:O44)</f>
        <v>5000</v>
      </c>
    </row>
    <row r="47" spans="1:15" ht="3" customHeight="1" x14ac:dyDescent="0.25">
      <c r="A47" s="47"/>
      <c r="B47" s="61"/>
      <c r="C47" s="60"/>
      <c r="D47" s="61"/>
      <c r="E47" s="47"/>
      <c r="F47" s="61"/>
      <c r="G47" s="60"/>
      <c r="H47" s="61"/>
      <c r="I47" s="47"/>
      <c r="J47" s="61"/>
      <c r="K47" s="60"/>
      <c r="L47" s="61"/>
      <c r="M47" s="47"/>
      <c r="N47" s="61"/>
      <c r="O47" s="60"/>
    </row>
    <row r="48" spans="1:15" ht="15.75" customHeight="1" x14ac:dyDescent="0.25">
      <c r="A48" s="75"/>
      <c r="B48" s="76" t="s">
        <v>139</v>
      </c>
      <c r="C48" s="25">
        <f>C38+C46</f>
        <v>313.61819519999972</v>
      </c>
      <c r="D48" s="45"/>
      <c r="E48" s="75"/>
      <c r="F48" s="76" t="s">
        <v>140</v>
      </c>
      <c r="G48" s="25">
        <f>G38+G46</f>
        <v>-9.3818048000002818</v>
      </c>
      <c r="H48" s="45"/>
      <c r="I48" s="75"/>
      <c r="J48" s="76" t="s">
        <v>141</v>
      </c>
      <c r="K48" s="25">
        <f>K38+K46</f>
        <v>-883.1323491840003</v>
      </c>
      <c r="L48" s="45"/>
      <c r="M48" s="75"/>
      <c r="N48" s="76" t="s">
        <v>142</v>
      </c>
      <c r="O48" s="25">
        <f>O38+O46</f>
        <v>-776.78293711871993</v>
      </c>
    </row>
    <row r="49" spans="1:15" ht="3" customHeight="1" x14ac:dyDescent="0.25">
      <c r="A49" s="47"/>
      <c r="B49" s="61"/>
      <c r="C49" s="60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</row>
    <row r="50" spans="1:15" x14ac:dyDescent="0.25">
      <c r="A50" s="77"/>
      <c r="B50" s="63" t="s">
        <v>112</v>
      </c>
      <c r="C50" s="64">
        <f>IF(C48&lt;0,C48*8%,0)</f>
        <v>0</v>
      </c>
      <c r="D50" s="61"/>
      <c r="E50" s="77"/>
      <c r="F50" s="63" t="s">
        <v>112</v>
      </c>
      <c r="G50" s="64">
        <f>IF(G48&lt;0,G48*8%,0)</f>
        <v>-0.75054438400002255</v>
      </c>
      <c r="H50" s="61"/>
      <c r="I50" s="77"/>
      <c r="J50" s="63" t="s">
        <v>112</v>
      </c>
      <c r="K50" s="64">
        <f>IF(K48&lt;0,K48*8%,0)</f>
        <v>-70.650587934720022</v>
      </c>
      <c r="L50" s="61"/>
      <c r="M50" s="77"/>
      <c r="N50" s="63" t="s">
        <v>112</v>
      </c>
      <c r="O50" s="64">
        <f>IF(O48&lt;0,O48*8%,0)</f>
        <v>-62.142634969497593</v>
      </c>
    </row>
    <row r="52" spans="1:15" ht="20.25" customHeight="1" x14ac:dyDescent="0.3">
      <c r="A52" s="112" t="str">
        <f>UPPER(TEXT(A54,"mmmm")&amp;" "&amp;TEXT(A54,"aaaa"))</f>
        <v>JANEIRO 2024</v>
      </c>
      <c r="B52" s="113"/>
      <c r="C52" s="113"/>
      <c r="D52" s="61"/>
      <c r="E52" s="112" t="str">
        <f>UPPER(TEXT(E54,"mmmm")&amp;" "&amp;TEXT(E54,"aaaa"))</f>
        <v>FEVEREIRO 2024</v>
      </c>
      <c r="F52" s="113"/>
      <c r="G52" s="113"/>
      <c r="H52" s="61"/>
      <c r="I52" s="112" t="str">
        <f>UPPER(TEXT(I54,"mmmm")&amp;" "&amp;TEXT(I54,"aaaa"))</f>
        <v>MARÇO 2024</v>
      </c>
      <c r="J52" s="113"/>
      <c r="K52" s="113"/>
      <c r="L52" s="61"/>
      <c r="M52" s="112" t="str">
        <f>UPPER(TEXT(M54,"mmmm")&amp;" "&amp;TEXT(M54,"aaaa"))</f>
        <v>ABRIL 2024</v>
      </c>
      <c r="N52" s="113"/>
      <c r="O52" s="113"/>
    </row>
    <row r="53" spans="1:15" x14ac:dyDescent="0.25">
      <c r="A53" s="47" t="s">
        <v>97</v>
      </c>
      <c r="B53" s="48" t="s">
        <v>98</v>
      </c>
      <c r="C53" s="49" t="s">
        <v>99</v>
      </c>
      <c r="D53" s="61"/>
      <c r="E53" s="47" t="s">
        <v>97</v>
      </c>
      <c r="F53" s="48" t="s">
        <v>98</v>
      </c>
      <c r="G53" s="49" t="s">
        <v>99</v>
      </c>
      <c r="H53" s="61"/>
      <c r="I53" s="47" t="s">
        <v>97</v>
      </c>
      <c r="J53" s="48" t="s">
        <v>98</v>
      </c>
      <c r="K53" s="49" t="s">
        <v>99</v>
      </c>
      <c r="L53" s="61"/>
      <c r="M53" s="47" t="s">
        <v>97</v>
      </c>
      <c r="N53" s="48" t="s">
        <v>98</v>
      </c>
      <c r="O53" s="49" t="s">
        <v>99</v>
      </c>
    </row>
    <row r="54" spans="1:15" x14ac:dyDescent="0.25">
      <c r="A54" s="66">
        <v>45292</v>
      </c>
      <c r="B54" s="67" t="str">
        <f>"SALDO "&amp;UPPER(TEXT(A54-1,"mmmm aaaa"))</f>
        <v>SALDO DEZEMBRO 2023</v>
      </c>
      <c r="C54" s="58">
        <f>O48-12.4296974335999</f>
        <v>-789.21263455231986</v>
      </c>
      <c r="D54" s="61"/>
      <c r="E54" s="66">
        <v>45323</v>
      </c>
      <c r="F54" s="67" t="str">
        <f>"SALDO "&amp;UPPER(TEXT(E54-1,"mmmm"))</f>
        <v>SALDO JANEIRO</v>
      </c>
      <c r="G54" s="32">
        <f>C71</f>
        <v>-199.21263455231929</v>
      </c>
      <c r="H54" s="61"/>
      <c r="I54" s="66">
        <v>45352</v>
      </c>
      <c r="J54" s="67" t="str">
        <f>"SALDO "&amp;UPPER(TEXT(I54-1,"mmmm"))</f>
        <v>SALDO FEVEREIRO</v>
      </c>
      <c r="K54" s="58">
        <f>G71</f>
        <v>-2738.1496453165046</v>
      </c>
      <c r="L54" s="61"/>
      <c r="M54" s="66">
        <v>45383</v>
      </c>
      <c r="N54" s="67" t="str">
        <f>"SALDO "&amp;UPPER(TEXT(M54-1,"mmmm"))</f>
        <v>SALDO MARÇO</v>
      </c>
      <c r="O54" s="58">
        <f>K71</f>
        <v>-3016.2816169418247</v>
      </c>
    </row>
    <row r="55" spans="1:15" x14ac:dyDescent="0.25">
      <c r="A55" s="66">
        <v>45320</v>
      </c>
      <c r="B55" s="67" t="s">
        <v>49</v>
      </c>
      <c r="C55" s="58">
        <v>-2060.08</v>
      </c>
      <c r="D55" s="61"/>
      <c r="E55" s="66">
        <v>45351</v>
      </c>
      <c r="F55" s="67" t="s">
        <v>143</v>
      </c>
      <c r="G55" s="58">
        <v>-2762.92</v>
      </c>
      <c r="H55" s="61"/>
      <c r="I55" s="66">
        <v>45380</v>
      </c>
      <c r="J55" s="67" t="s">
        <v>51</v>
      </c>
      <c r="K55" s="58">
        <v>-2059.08</v>
      </c>
      <c r="L55" s="61"/>
      <c r="M55" s="66">
        <v>45411</v>
      </c>
      <c r="N55" s="67" t="s">
        <v>52</v>
      </c>
      <c r="O55" s="58">
        <v>-2059.08</v>
      </c>
    </row>
    <row r="56" spans="1:15" x14ac:dyDescent="0.25">
      <c r="A56" s="66">
        <v>45321</v>
      </c>
      <c r="B56" s="67" t="s">
        <v>95</v>
      </c>
      <c r="C56" s="58">
        <v>-2762.92</v>
      </c>
      <c r="D56" s="61"/>
      <c r="E56" s="66">
        <v>45351</v>
      </c>
      <c r="F56" s="67" t="s">
        <v>50</v>
      </c>
      <c r="G56" s="58">
        <v>-2060.08</v>
      </c>
      <c r="H56" s="61"/>
      <c r="I56" s="66"/>
      <c r="J56" s="67"/>
      <c r="K56" s="58"/>
      <c r="L56" s="61"/>
      <c r="M56" s="66"/>
      <c r="N56" s="67"/>
      <c r="O56" s="58"/>
    </row>
    <row r="57" spans="1:15" x14ac:dyDescent="0.25">
      <c r="A57" s="66"/>
      <c r="B57" s="67"/>
      <c r="C57" s="58"/>
      <c r="D57" s="61"/>
      <c r="E57" s="66"/>
      <c r="F57" s="67"/>
      <c r="G57" s="58"/>
      <c r="H57" s="61"/>
      <c r="I57" s="66"/>
      <c r="J57" s="67"/>
      <c r="K57" s="58"/>
      <c r="L57" s="61"/>
      <c r="M57" s="66"/>
      <c r="N57" s="67"/>
      <c r="O57" s="58"/>
    </row>
    <row r="58" spans="1:15" x14ac:dyDescent="0.25">
      <c r="A58" s="66"/>
      <c r="B58" s="67"/>
      <c r="C58" s="58"/>
      <c r="D58" s="61"/>
      <c r="E58" s="66"/>
      <c r="F58" s="67"/>
      <c r="G58" s="58"/>
      <c r="H58" s="61"/>
      <c r="I58" s="66"/>
      <c r="J58" s="67"/>
      <c r="K58" s="58"/>
      <c r="L58" s="61"/>
      <c r="M58" s="66"/>
      <c r="N58" s="67"/>
      <c r="O58" s="58"/>
    </row>
    <row r="59" spans="1:15" x14ac:dyDescent="0.25">
      <c r="A59" s="66">
        <f>IF(O50&lt;0,A54,"")</f>
        <v>45292</v>
      </c>
      <c r="B59" s="67" t="str">
        <f>IF(O50&lt;0,"Juros 8% Mês "&amp;M29,"")</f>
        <v>Juros 8% Mês DEZEMBRO 2023</v>
      </c>
      <c r="C59" s="32">
        <f>'05-08 de 23'!O97</f>
        <v>0</v>
      </c>
      <c r="D59" s="61"/>
      <c r="E59" s="66">
        <f>IF(C73&lt;0,E54,"")</f>
        <v>45323</v>
      </c>
      <c r="F59" s="67" t="str">
        <f>IF(C73&lt;0,"Juros 8% Mês "&amp;A52,"")</f>
        <v>Juros 8% Mês JANEIRO 2024</v>
      </c>
      <c r="G59" s="32">
        <f>C73</f>
        <v>-15.937010764185544</v>
      </c>
      <c r="H59" s="61"/>
      <c r="I59" s="66">
        <f>IF(G73&lt;0,I54,"")</f>
        <v>45352</v>
      </c>
      <c r="J59" s="67" t="str">
        <f>IF(G73&lt;0,"Juros 8% Mês "&amp;E52,"")</f>
        <v>Juros 8% Mês FEVEREIRO 2024</v>
      </c>
      <c r="K59" s="32">
        <f>G73</f>
        <v>-219.05197162532036</v>
      </c>
      <c r="L59" s="61"/>
      <c r="M59" s="66">
        <f>IF(K73&lt;0,M54,"")</f>
        <v>45383</v>
      </c>
      <c r="N59" s="67" t="str">
        <f>IF(K73&lt;0,"Juros 8% Mês "&amp;I52,"")</f>
        <v>Juros 8% Mês MARÇO 2024</v>
      </c>
      <c r="O59" s="32">
        <f>K73</f>
        <v>-241.302529355346</v>
      </c>
    </row>
    <row r="60" spans="1:15" ht="3" customHeight="1" x14ac:dyDescent="0.25">
      <c r="A60" s="47"/>
      <c r="B60" s="61"/>
      <c r="C60" s="42"/>
      <c r="D60" s="61"/>
      <c r="E60" s="47"/>
      <c r="F60" s="61"/>
      <c r="G60" s="42"/>
      <c r="H60" s="61"/>
      <c r="I60" s="47"/>
      <c r="J60" s="61"/>
      <c r="K60" s="42"/>
      <c r="L60" s="61"/>
      <c r="M60" s="47"/>
      <c r="N60" s="61"/>
      <c r="O60" s="42"/>
    </row>
    <row r="61" spans="1:15" ht="15.75" customHeight="1" x14ac:dyDescent="0.25">
      <c r="A61" s="68" t="s">
        <v>109</v>
      </c>
      <c r="B61" s="69">
        <f>A54</f>
        <v>45292</v>
      </c>
      <c r="C61" s="52">
        <f>SUM(C54:C59)</f>
        <v>-5612.2126345523193</v>
      </c>
      <c r="D61" s="45"/>
      <c r="E61" s="68" t="s">
        <v>109</v>
      </c>
      <c r="F61" s="69">
        <f>E54</f>
        <v>45323</v>
      </c>
      <c r="G61" s="52">
        <f>SUM(G54:G59)</f>
        <v>-5038.1496453165046</v>
      </c>
      <c r="H61" s="45"/>
      <c r="I61" s="68" t="s">
        <v>109</v>
      </c>
      <c r="J61" s="69">
        <f>I54</f>
        <v>45352</v>
      </c>
      <c r="K61" s="52">
        <f>SUM(K54:K59)</f>
        <v>-5016.2816169418247</v>
      </c>
      <c r="L61" s="45"/>
      <c r="M61" s="68" t="s">
        <v>109</v>
      </c>
      <c r="N61" s="69">
        <f>M54</f>
        <v>45383</v>
      </c>
      <c r="O61" s="52">
        <f>SUM(O54:O59)</f>
        <v>-5316.6641462971711</v>
      </c>
    </row>
    <row r="62" spans="1:15" ht="3" customHeight="1" x14ac:dyDescent="0.25">
      <c r="A62" s="48"/>
      <c r="B62" s="61"/>
      <c r="C62" s="43"/>
      <c r="D62" s="61"/>
      <c r="E62" s="48"/>
      <c r="F62" s="61"/>
      <c r="G62" s="43"/>
      <c r="H62" s="61"/>
      <c r="I62" s="48"/>
      <c r="J62" s="61"/>
      <c r="K62" s="43"/>
      <c r="L62" s="61"/>
      <c r="M62" s="48"/>
      <c r="N62" s="61"/>
      <c r="O62" s="43"/>
    </row>
    <row r="63" spans="1:15" x14ac:dyDescent="0.25">
      <c r="A63" s="72">
        <v>45331</v>
      </c>
      <c r="B63" s="73" t="s">
        <v>31</v>
      </c>
      <c r="C63" s="55">
        <v>1413</v>
      </c>
      <c r="D63" s="61"/>
      <c r="E63" s="72">
        <v>45369</v>
      </c>
      <c r="F63" s="73" t="s">
        <v>144</v>
      </c>
      <c r="G63" s="55">
        <v>500</v>
      </c>
      <c r="H63" s="61"/>
      <c r="I63" s="72">
        <v>45387</v>
      </c>
      <c r="J63" s="73" t="s">
        <v>144</v>
      </c>
      <c r="K63" s="55">
        <v>1000</v>
      </c>
      <c r="L63" s="61"/>
      <c r="M63" s="72">
        <v>45412</v>
      </c>
      <c r="N63" s="73" t="s">
        <v>144</v>
      </c>
      <c r="O63" s="55">
        <v>1000</v>
      </c>
    </row>
    <row r="64" spans="1:15" x14ac:dyDescent="0.25">
      <c r="A64" s="72">
        <v>45334</v>
      </c>
      <c r="B64" s="73" t="s">
        <v>31</v>
      </c>
      <c r="C64" s="55">
        <v>500</v>
      </c>
      <c r="D64" s="61"/>
      <c r="E64" s="72">
        <v>45376</v>
      </c>
      <c r="F64" s="73" t="s">
        <v>144</v>
      </c>
      <c r="G64" s="55">
        <v>1800</v>
      </c>
      <c r="H64" s="61"/>
      <c r="I64" s="72">
        <v>45388</v>
      </c>
      <c r="J64" s="73" t="s">
        <v>144</v>
      </c>
      <c r="K64" s="55">
        <v>1000</v>
      </c>
      <c r="L64" s="61"/>
      <c r="M64" s="92">
        <v>45421</v>
      </c>
      <c r="N64" s="93" t="s">
        <v>145</v>
      </c>
      <c r="O64" s="94">
        <v>2000</v>
      </c>
    </row>
    <row r="65" spans="1:15" x14ac:dyDescent="0.25">
      <c r="A65" s="72">
        <v>45346</v>
      </c>
      <c r="B65" s="73" t="s">
        <v>31</v>
      </c>
      <c r="C65" s="55">
        <v>1500</v>
      </c>
      <c r="D65" s="61"/>
      <c r="E65" s="72"/>
      <c r="F65" s="73"/>
      <c r="G65" s="55"/>
      <c r="H65" s="61"/>
      <c r="I65" s="72"/>
      <c r="J65" s="73"/>
      <c r="K65" s="55"/>
      <c r="L65" s="61"/>
      <c r="M65" s="72"/>
      <c r="N65" s="73"/>
      <c r="O65" s="55"/>
    </row>
    <row r="66" spans="1:15" x14ac:dyDescent="0.25">
      <c r="A66" s="72">
        <v>45351</v>
      </c>
      <c r="B66" s="73" t="s">
        <v>31</v>
      </c>
      <c r="C66" s="55">
        <v>2000</v>
      </c>
      <c r="D66" s="61"/>
      <c r="E66" s="72"/>
      <c r="F66" s="73"/>
      <c r="G66" s="55"/>
      <c r="H66" s="61"/>
      <c r="I66" s="72"/>
      <c r="J66" s="73"/>
      <c r="K66" s="55"/>
      <c r="L66" s="61"/>
      <c r="M66" s="72"/>
      <c r="N66" s="73"/>
      <c r="O66" s="55"/>
    </row>
    <row r="67" spans="1:15" x14ac:dyDescent="0.25">
      <c r="A67" s="72"/>
      <c r="B67" s="73"/>
      <c r="C67" s="55"/>
      <c r="D67" s="61"/>
      <c r="E67" s="72"/>
      <c r="F67" s="73"/>
      <c r="G67" s="55"/>
      <c r="H67" s="61"/>
      <c r="I67" s="72"/>
      <c r="J67" s="73"/>
      <c r="K67" s="55"/>
      <c r="L67" s="61"/>
      <c r="M67" s="72"/>
      <c r="N67" s="73"/>
      <c r="O67" s="55"/>
    </row>
    <row r="68" spans="1:15" ht="3" customHeight="1" x14ac:dyDescent="0.25">
      <c r="A68" s="47"/>
      <c r="B68" s="61"/>
      <c r="C68" s="42"/>
      <c r="D68" s="61"/>
      <c r="E68" s="47"/>
      <c r="F68" s="61"/>
      <c r="G68" s="42"/>
      <c r="H68" s="61"/>
      <c r="I68" s="47"/>
      <c r="J68" s="61"/>
      <c r="K68" s="42"/>
      <c r="L68" s="61"/>
      <c r="M68" s="47"/>
      <c r="N68" s="61"/>
      <c r="O68" s="42"/>
    </row>
    <row r="69" spans="1:15" ht="15.75" customHeight="1" x14ac:dyDescent="0.25">
      <c r="A69" s="74" t="s">
        <v>3</v>
      </c>
      <c r="B69" s="73" t="s">
        <v>110</v>
      </c>
      <c r="C69" s="57">
        <f>SUM(C63:C67)</f>
        <v>5413</v>
      </c>
      <c r="D69" s="61"/>
      <c r="E69" s="74" t="s">
        <v>3</v>
      </c>
      <c r="F69" s="73" t="s">
        <v>110</v>
      </c>
      <c r="G69" s="57">
        <f>SUM(G63:G67)</f>
        <v>2300</v>
      </c>
      <c r="H69" s="61"/>
      <c r="I69" s="74" t="s">
        <v>3</v>
      </c>
      <c r="J69" s="73" t="s">
        <v>110</v>
      </c>
      <c r="K69" s="57">
        <f>SUM(K63:K67)</f>
        <v>2000</v>
      </c>
      <c r="L69" s="61"/>
      <c r="M69" s="74" t="s">
        <v>3</v>
      </c>
      <c r="N69" s="73" t="s">
        <v>110</v>
      </c>
      <c r="O69" s="57">
        <f>SUM(O63:O67)</f>
        <v>3000</v>
      </c>
    </row>
    <row r="70" spans="1:15" ht="3" customHeight="1" x14ac:dyDescent="0.25">
      <c r="A70" s="47"/>
      <c r="B70" s="61"/>
      <c r="C70" s="60"/>
      <c r="D70" s="61"/>
      <c r="E70" s="47"/>
      <c r="F70" s="61"/>
      <c r="G70" s="60"/>
      <c r="H70" s="61"/>
      <c r="I70" s="47"/>
      <c r="J70" s="61"/>
      <c r="K70" s="60"/>
      <c r="L70" s="61"/>
      <c r="M70" s="47"/>
      <c r="N70" s="61"/>
      <c r="O70" s="60"/>
    </row>
    <row r="71" spans="1:15" ht="15.75" customHeight="1" x14ac:dyDescent="0.25">
      <c r="A71" s="75" t="s">
        <v>111</v>
      </c>
      <c r="B71" s="76">
        <f>B61</f>
        <v>45292</v>
      </c>
      <c r="C71" s="25">
        <f>C61+C69</f>
        <v>-199.21263455231929</v>
      </c>
      <c r="D71" s="45"/>
      <c r="E71" s="75" t="s">
        <v>111</v>
      </c>
      <c r="F71" s="76">
        <f>F61</f>
        <v>45323</v>
      </c>
      <c r="G71" s="25">
        <f>G61+G69</f>
        <v>-2738.1496453165046</v>
      </c>
      <c r="H71" s="45"/>
      <c r="I71" s="75" t="s">
        <v>111</v>
      </c>
      <c r="J71" s="76">
        <f>J61</f>
        <v>45352</v>
      </c>
      <c r="K71" s="25">
        <f>K61+K69</f>
        <v>-3016.2816169418247</v>
      </c>
      <c r="L71" s="45"/>
      <c r="M71" s="75" t="s">
        <v>111</v>
      </c>
      <c r="N71" s="76">
        <f>N61</f>
        <v>45383</v>
      </c>
      <c r="O71" s="25">
        <f>O61+O69</f>
        <v>-2316.6641462971711</v>
      </c>
    </row>
    <row r="72" spans="1:15" ht="3" customHeight="1" x14ac:dyDescent="0.25">
      <c r="A72" s="47"/>
      <c r="B72" s="61"/>
      <c r="C72" s="60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</row>
    <row r="73" spans="1:15" x14ac:dyDescent="0.25">
      <c r="A73" s="77"/>
      <c r="B73" s="63" t="s">
        <v>112</v>
      </c>
      <c r="C73" s="64">
        <f>IF(C71&lt;0,C71*8%,0)</f>
        <v>-15.937010764185544</v>
      </c>
      <c r="D73" s="61"/>
      <c r="E73" s="77"/>
      <c r="F73" s="63" t="s">
        <v>112</v>
      </c>
      <c r="G73" s="64">
        <f>IF(G71&lt;0,G71*8%,0)</f>
        <v>-219.05197162532036</v>
      </c>
      <c r="H73" s="61"/>
      <c r="I73" s="77"/>
      <c r="J73" s="63" t="s">
        <v>112</v>
      </c>
      <c r="K73" s="64">
        <f>IF(K71&lt;0,K71*8%,0)</f>
        <v>-241.302529355346</v>
      </c>
      <c r="L73" s="61"/>
      <c r="M73" s="77"/>
      <c r="N73" s="63" t="s">
        <v>112</v>
      </c>
      <c r="O73" s="64">
        <f>IF(O71&lt;0,O71*8%,0)</f>
        <v>-185.33313170377369</v>
      </c>
    </row>
    <row r="75" spans="1:15" ht="20.25" customHeight="1" x14ac:dyDescent="0.3">
      <c r="A75" s="112" t="str">
        <f>UPPER(TEXT(A77,"mmmm")&amp;" "&amp;TEXT(A77,"aaaa"))</f>
        <v>MAIO 2024</v>
      </c>
      <c r="B75" s="113"/>
      <c r="C75" s="113"/>
      <c r="D75" s="81"/>
      <c r="E75" s="112" t="str">
        <f>UPPER(TEXT(E77,"mmmm")&amp;" "&amp;TEXT(E77,"aaaa"))</f>
        <v>JUNHO 2024</v>
      </c>
      <c r="F75" s="113"/>
      <c r="G75" s="113"/>
      <c r="H75" s="81"/>
      <c r="I75" s="112" t="str">
        <f>UPPER(TEXT(I77,"mmmm")&amp;" "&amp;TEXT(I77,"aaaa"))</f>
        <v>JULHO 2024</v>
      </c>
      <c r="J75" s="113"/>
      <c r="K75" s="113"/>
      <c r="L75" s="81"/>
      <c r="M75" s="112" t="str">
        <f>UPPER(TEXT(M77,"mmmm")&amp;" "&amp;TEXT(M77,"aaaa"))</f>
        <v>AGOSTO 2024</v>
      </c>
      <c r="N75" s="113"/>
      <c r="O75" s="113"/>
    </row>
    <row r="76" spans="1:15" x14ac:dyDescent="0.25">
      <c r="A76" s="47" t="s">
        <v>97</v>
      </c>
      <c r="B76" s="48" t="s">
        <v>98</v>
      </c>
      <c r="C76" s="49" t="s">
        <v>99</v>
      </c>
      <c r="D76" s="81"/>
      <c r="E76" s="47" t="s">
        <v>97</v>
      </c>
      <c r="F76" s="48" t="s">
        <v>98</v>
      </c>
      <c r="G76" s="49" t="s">
        <v>99</v>
      </c>
      <c r="H76" s="81"/>
      <c r="I76" s="47" t="s">
        <v>97</v>
      </c>
      <c r="J76" s="48" t="s">
        <v>98</v>
      </c>
      <c r="K76" s="49" t="s">
        <v>99</v>
      </c>
      <c r="L76" s="81"/>
      <c r="M76" s="47" t="s">
        <v>97</v>
      </c>
      <c r="N76" s="48" t="s">
        <v>98</v>
      </c>
      <c r="O76" s="49" t="s">
        <v>99</v>
      </c>
    </row>
    <row r="77" spans="1:15" x14ac:dyDescent="0.25">
      <c r="A77" s="66">
        <v>45413</v>
      </c>
      <c r="B77" s="67" t="str">
        <f>"SALDO "&amp;UPPER(TEXT(A77-1,"mmmm"))</f>
        <v>SALDO ABRIL</v>
      </c>
      <c r="C77" s="32">
        <f>O71</f>
        <v>-2316.6641462971711</v>
      </c>
      <c r="D77" s="45"/>
      <c r="E77" s="66">
        <v>45444</v>
      </c>
      <c r="F77" s="67" t="str">
        <f>"SALDO "&amp;UPPER(TEXT(E77-1,"mmmm"))</f>
        <v>SALDO MAIO</v>
      </c>
      <c r="G77" s="32">
        <f>C94</f>
        <v>-2375.744146297171</v>
      </c>
      <c r="H77" s="45"/>
      <c r="I77" s="66">
        <v>45474</v>
      </c>
      <c r="J77" s="67" t="str">
        <f>"SALDO "&amp;UPPER(TEXT(I77-1,"mmmm"))</f>
        <v>SALDO JUNHO</v>
      </c>
      <c r="K77" s="32">
        <f>G94</f>
        <v>-2624.8836780009442</v>
      </c>
      <c r="L77" s="45"/>
      <c r="M77" s="66">
        <v>45505</v>
      </c>
      <c r="N77" s="67" t="str">
        <f>"SALDO "&amp;UPPER(TEXT(M77-1,"mmmm"))</f>
        <v>SALDO JULHO</v>
      </c>
      <c r="O77" s="32">
        <f>K94</f>
        <v>-4893.9543722410199</v>
      </c>
    </row>
    <row r="78" spans="1:15" x14ac:dyDescent="0.25">
      <c r="A78" s="66">
        <f>A77+28</f>
        <v>45441</v>
      </c>
      <c r="B78" s="67" t="s">
        <v>53</v>
      </c>
      <c r="C78" s="32">
        <v>-2059.08</v>
      </c>
      <c r="D78" s="45"/>
      <c r="E78" s="66">
        <f>E77+28</f>
        <v>45472</v>
      </c>
      <c r="F78" s="67" t="s">
        <v>54</v>
      </c>
      <c r="G78" s="32">
        <v>-2059.08</v>
      </c>
      <c r="H78" s="45"/>
      <c r="I78" s="66">
        <f>I77+28</f>
        <v>45502</v>
      </c>
      <c r="J78" s="67" t="s">
        <v>55</v>
      </c>
      <c r="K78" s="32">
        <v>-2059.08</v>
      </c>
      <c r="L78" s="45"/>
      <c r="M78" s="66">
        <f>M77+28</f>
        <v>45533</v>
      </c>
      <c r="N78" s="67" t="s">
        <v>56</v>
      </c>
      <c r="O78" s="32">
        <v>-2059.08</v>
      </c>
    </row>
    <row r="79" spans="1:15" x14ac:dyDescent="0.25">
      <c r="A79" s="66"/>
      <c r="B79" s="67"/>
      <c r="C79" s="32"/>
      <c r="D79" s="45"/>
      <c r="E79" s="66"/>
      <c r="F79" s="67"/>
      <c r="G79" s="32"/>
      <c r="H79" s="45"/>
      <c r="I79" s="66"/>
      <c r="J79" s="67"/>
      <c r="K79" s="32"/>
      <c r="L79" s="45"/>
      <c r="M79" s="66"/>
      <c r="N79" s="67"/>
      <c r="O79" s="32"/>
    </row>
    <row r="80" spans="1:15" x14ac:dyDescent="0.25">
      <c r="A80" s="66"/>
      <c r="B80" s="67"/>
      <c r="C80" s="32"/>
      <c r="D80" s="45"/>
      <c r="E80" s="66"/>
      <c r="F80" s="67"/>
      <c r="G80" s="32"/>
      <c r="H80" s="45"/>
      <c r="I80" s="66"/>
      <c r="J80" s="67"/>
      <c r="K80" s="32"/>
      <c r="L80" s="45"/>
      <c r="M80" s="66"/>
      <c r="N80" s="67"/>
      <c r="O80" s="32"/>
    </row>
    <row r="81" spans="1:15" x14ac:dyDescent="0.25">
      <c r="A81" s="66"/>
      <c r="B81" s="67"/>
      <c r="C81" s="32"/>
      <c r="D81" s="45"/>
      <c r="E81" s="66"/>
      <c r="F81" s="67"/>
      <c r="G81" s="32"/>
      <c r="H81" s="45"/>
      <c r="I81" s="66"/>
      <c r="J81" s="67"/>
      <c r="K81" s="32"/>
      <c r="L81" s="45"/>
      <c r="M81" s="66"/>
      <c r="N81" s="67"/>
      <c r="O81" s="32"/>
    </row>
    <row r="82" spans="1:15" x14ac:dyDescent="0.25">
      <c r="A82" s="66">
        <f>IF(O73&lt;0,A77,"")</f>
        <v>45413</v>
      </c>
      <c r="B82" s="67" t="str">
        <f>IF(O73&lt;0,"Juros 8% Mês "&amp;M52,"")</f>
        <v>Juros 8% Mês ABRIL 2024</v>
      </c>
      <c r="C82" s="32">
        <f>'05-08 de 23'!O120</f>
        <v>0</v>
      </c>
      <c r="D82" s="45"/>
      <c r="E82" s="66">
        <f>IF(C96&lt;0,E77,"")</f>
        <v>45444</v>
      </c>
      <c r="F82" s="67" t="str">
        <f>IF(C96&lt;0,"Juros 8% Mês "&amp;A75,"")</f>
        <v>Juros 8% Mês MAIO 2024</v>
      </c>
      <c r="G82" s="32">
        <f>C96</f>
        <v>-190.05953170377367</v>
      </c>
      <c r="H82" s="45"/>
      <c r="I82" s="66">
        <f>IF(G96&lt;0,I77,"")</f>
        <v>45474</v>
      </c>
      <c r="J82" s="67" t="str">
        <f>IF(G96&lt;0,"Juros 8% Mês "&amp;E75,"")</f>
        <v>Juros 8% Mês JUNHO 2024</v>
      </c>
      <c r="K82" s="32">
        <f>G96</f>
        <v>-209.99069424007553</v>
      </c>
      <c r="L82" s="45"/>
      <c r="M82" s="66">
        <f>IF(K96&lt;0,M77,"")</f>
        <v>45505</v>
      </c>
      <c r="N82" s="67" t="str">
        <f>IF(K96&lt;0,"Juros 8% Mês "&amp;I75,"")</f>
        <v>Juros 8% Mês JULHO 2024</v>
      </c>
      <c r="O82" s="32">
        <f>K96</f>
        <v>-391.5163497792816</v>
      </c>
    </row>
    <row r="83" spans="1:15" ht="3" customHeight="1" x14ac:dyDescent="0.25">
      <c r="A83" s="82"/>
      <c r="B83" s="45"/>
      <c r="C83" s="38"/>
      <c r="D83" s="45"/>
      <c r="E83" s="82"/>
      <c r="F83" s="45"/>
      <c r="G83" s="38"/>
      <c r="H83" s="45"/>
      <c r="I83" s="82"/>
      <c r="J83" s="45"/>
      <c r="K83" s="38"/>
      <c r="L83" s="45"/>
      <c r="M83" s="82"/>
      <c r="N83" s="45"/>
      <c r="O83" s="38"/>
    </row>
    <row r="84" spans="1:15" ht="15.75" customHeight="1" x14ac:dyDescent="0.25">
      <c r="A84" s="68" t="s">
        <v>109</v>
      </c>
      <c r="B84" s="69">
        <f>A77</f>
        <v>45413</v>
      </c>
      <c r="C84" s="52">
        <f>SUM(C77:C82)</f>
        <v>-4375.744146297171</v>
      </c>
      <c r="D84" s="45"/>
      <c r="E84" s="68" t="s">
        <v>109</v>
      </c>
      <c r="F84" s="69">
        <f>E77</f>
        <v>45444</v>
      </c>
      <c r="G84" s="52">
        <f>SUM(G77:G82)</f>
        <v>-4624.8836780009442</v>
      </c>
      <c r="H84" s="45"/>
      <c r="I84" s="68" t="s">
        <v>109</v>
      </c>
      <c r="J84" s="69">
        <f>I77</f>
        <v>45474</v>
      </c>
      <c r="K84" s="52">
        <f>SUM(K77:K82)</f>
        <v>-4893.9543722410199</v>
      </c>
      <c r="L84" s="45"/>
      <c r="M84" s="68" t="s">
        <v>109</v>
      </c>
      <c r="N84" s="69">
        <f>M77</f>
        <v>45505</v>
      </c>
      <c r="O84" s="52">
        <f>SUM(O77:O82)</f>
        <v>-7344.5507220203017</v>
      </c>
    </row>
    <row r="85" spans="1:15" ht="3" customHeight="1" x14ac:dyDescent="0.25">
      <c r="A85" s="83"/>
      <c r="B85" s="45"/>
      <c r="C85" s="40"/>
      <c r="D85" s="45"/>
      <c r="E85" s="83"/>
      <c r="F85" s="45"/>
      <c r="G85" s="40"/>
      <c r="H85" s="45"/>
      <c r="I85" s="83"/>
      <c r="J85" s="45"/>
      <c r="K85" s="40"/>
      <c r="L85" s="45"/>
      <c r="M85" s="83"/>
      <c r="N85" s="45"/>
      <c r="O85" s="40"/>
    </row>
    <row r="86" spans="1:15" x14ac:dyDescent="0.25">
      <c r="A86" s="92">
        <v>45450</v>
      </c>
      <c r="B86" s="93" t="s">
        <v>145</v>
      </c>
      <c r="C86" s="94">
        <v>2000</v>
      </c>
      <c r="D86" s="61"/>
      <c r="E86" s="92">
        <v>45477</v>
      </c>
      <c r="F86" s="93" t="s">
        <v>144</v>
      </c>
      <c r="G86" s="94">
        <v>2000</v>
      </c>
      <c r="H86" s="61"/>
      <c r="I86" s="72"/>
      <c r="J86" s="73"/>
      <c r="K86" s="55"/>
      <c r="L86" s="61"/>
      <c r="M86" s="72"/>
      <c r="N86" s="73"/>
      <c r="O86" s="55"/>
    </row>
    <row r="87" spans="1:15" x14ac:dyDescent="0.25">
      <c r="A87" s="72"/>
      <c r="B87" s="73"/>
      <c r="C87" s="55"/>
      <c r="D87" s="61"/>
      <c r="E87" s="72"/>
      <c r="F87" s="73"/>
      <c r="G87" s="55"/>
      <c r="H87" s="61"/>
      <c r="I87" s="72"/>
      <c r="J87" s="73"/>
      <c r="K87" s="55"/>
      <c r="L87" s="61"/>
      <c r="M87" s="72"/>
      <c r="N87" s="73"/>
      <c r="O87" s="55"/>
    </row>
    <row r="88" spans="1:15" x14ac:dyDescent="0.25">
      <c r="A88" s="72"/>
      <c r="B88" s="73"/>
      <c r="C88" s="55"/>
      <c r="D88" s="61"/>
      <c r="E88" s="72"/>
      <c r="F88" s="73"/>
      <c r="G88" s="55"/>
      <c r="H88" s="61"/>
      <c r="I88" s="72"/>
      <c r="J88" s="73"/>
      <c r="K88" s="55"/>
      <c r="L88" s="61"/>
      <c r="M88" s="72"/>
      <c r="N88" s="73"/>
      <c r="O88" s="55"/>
    </row>
    <row r="89" spans="1:15" x14ac:dyDescent="0.25">
      <c r="A89" s="72"/>
      <c r="B89" s="73"/>
      <c r="C89" s="55"/>
      <c r="D89" s="61"/>
      <c r="E89" s="72"/>
      <c r="F89" s="73"/>
      <c r="G89" s="55"/>
      <c r="H89" s="61"/>
      <c r="I89" s="72"/>
      <c r="J89" s="73"/>
      <c r="K89" s="55"/>
      <c r="L89" s="61"/>
      <c r="M89" s="72"/>
      <c r="N89" s="73"/>
      <c r="O89" s="55"/>
    </row>
    <row r="90" spans="1:15" x14ac:dyDescent="0.25">
      <c r="A90" s="72"/>
      <c r="B90" s="73"/>
      <c r="C90" s="55"/>
      <c r="D90" s="61"/>
      <c r="E90" s="72"/>
      <c r="F90" s="73"/>
      <c r="G90" s="55"/>
      <c r="H90" s="61"/>
      <c r="I90" s="72"/>
      <c r="J90" s="73"/>
      <c r="K90" s="55"/>
      <c r="L90" s="61"/>
      <c r="M90" s="72"/>
      <c r="N90" s="73"/>
      <c r="O90" s="55"/>
    </row>
    <row r="91" spans="1:15" ht="3" customHeight="1" x14ac:dyDescent="0.25">
      <c r="A91" s="82"/>
      <c r="B91" s="45"/>
      <c r="C91" s="38"/>
      <c r="D91" s="45"/>
      <c r="E91" s="82"/>
      <c r="F91" s="45"/>
      <c r="G91" s="38"/>
      <c r="H91" s="61"/>
      <c r="I91" s="82"/>
      <c r="J91" s="45"/>
      <c r="K91" s="38"/>
      <c r="L91" s="61"/>
      <c r="M91" s="82"/>
      <c r="N91" s="45"/>
      <c r="O91" s="38"/>
    </row>
    <row r="92" spans="1:15" ht="15.75" customHeight="1" x14ac:dyDescent="0.25">
      <c r="A92" s="74" t="s">
        <v>3</v>
      </c>
      <c r="B92" s="73" t="s">
        <v>110</v>
      </c>
      <c r="C92" s="57">
        <f>SUM(C86:C90)</f>
        <v>2000</v>
      </c>
      <c r="D92" s="61"/>
      <c r="E92" s="74" t="s">
        <v>3</v>
      </c>
      <c r="F92" s="73" t="s">
        <v>110</v>
      </c>
      <c r="G92" s="57">
        <f>SUM(G86:G90)</f>
        <v>2000</v>
      </c>
      <c r="H92" s="61"/>
      <c r="I92" s="74" t="s">
        <v>3</v>
      </c>
      <c r="J92" s="73" t="s">
        <v>110</v>
      </c>
      <c r="K92" s="57">
        <f>SUM(K86:K90)</f>
        <v>0</v>
      </c>
      <c r="L92" s="61"/>
      <c r="M92" s="74" t="s">
        <v>3</v>
      </c>
      <c r="N92" s="73" t="s">
        <v>110</v>
      </c>
      <c r="O92" s="57">
        <f>SUM(O86:O90)</f>
        <v>0</v>
      </c>
    </row>
    <row r="93" spans="1:15" ht="3" customHeight="1" x14ac:dyDescent="0.25">
      <c r="A93" s="82"/>
      <c r="B93" s="45"/>
      <c r="C93" s="44"/>
      <c r="D93" s="45"/>
      <c r="E93" s="82"/>
      <c r="F93" s="45"/>
      <c r="G93" s="44"/>
      <c r="H93" s="45"/>
      <c r="I93" s="82"/>
      <c r="J93" s="45"/>
      <c r="K93" s="44"/>
      <c r="L93" s="45"/>
      <c r="M93" s="82"/>
      <c r="N93" s="45"/>
      <c r="O93" s="44"/>
    </row>
    <row r="94" spans="1:15" ht="15.75" customHeight="1" x14ac:dyDescent="0.25">
      <c r="A94" s="75" t="s">
        <v>111</v>
      </c>
      <c r="B94" s="76">
        <f>B84</f>
        <v>45413</v>
      </c>
      <c r="C94" s="25">
        <f>C84+C92</f>
        <v>-2375.744146297171</v>
      </c>
      <c r="D94" s="45"/>
      <c r="E94" s="75" t="s">
        <v>111</v>
      </c>
      <c r="F94" s="76">
        <f>F84</f>
        <v>45444</v>
      </c>
      <c r="G94" s="25">
        <f>G84+G92</f>
        <v>-2624.8836780009442</v>
      </c>
      <c r="H94" s="45"/>
      <c r="I94" s="75" t="s">
        <v>111</v>
      </c>
      <c r="J94" s="76">
        <f>J84</f>
        <v>45474</v>
      </c>
      <c r="K94" s="25">
        <f>K84+K92</f>
        <v>-4893.9543722410199</v>
      </c>
      <c r="L94" s="45"/>
      <c r="M94" s="75" t="s">
        <v>111</v>
      </c>
      <c r="N94" s="76">
        <f>N84</f>
        <v>45505</v>
      </c>
      <c r="O94" s="25">
        <f>O84+O92</f>
        <v>-7344.5507220203017</v>
      </c>
    </row>
    <row r="95" spans="1:15" ht="3" customHeight="1" x14ac:dyDescent="0.25">
      <c r="A95" s="82"/>
      <c r="B95" s="45"/>
      <c r="C95" s="44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</row>
    <row r="96" spans="1:15" x14ac:dyDescent="0.25">
      <c r="A96" s="77"/>
      <c r="B96" s="63" t="s">
        <v>112</v>
      </c>
      <c r="C96" s="64">
        <f>IF(C94&lt;0,C94*8%,0)</f>
        <v>-190.05953170377367</v>
      </c>
      <c r="D96" s="61"/>
      <c r="E96" s="77"/>
      <c r="F96" s="63" t="s">
        <v>112</v>
      </c>
      <c r="G96" s="64">
        <f>IF(G94&lt;0,G94*8%,0)</f>
        <v>-209.99069424007553</v>
      </c>
      <c r="H96" s="61"/>
      <c r="I96" s="77"/>
      <c r="J96" s="63" t="s">
        <v>112</v>
      </c>
      <c r="K96" s="64">
        <f>IF(K94&lt;0,K94*8%,0)</f>
        <v>-391.5163497792816</v>
      </c>
      <c r="L96" s="61"/>
      <c r="M96" s="77"/>
      <c r="N96" s="63" t="s">
        <v>112</v>
      </c>
      <c r="O96" s="64">
        <f>IF(O94&lt;0,O94*8%,0)</f>
        <v>-587.5640577616241</v>
      </c>
    </row>
    <row r="98" spans="1:15" ht="20.25" customHeight="1" x14ac:dyDescent="0.3">
      <c r="A98" s="112" t="str">
        <f>UPPER(TEXT(A100,"mmmm")&amp;" "&amp;TEXT(A100,"aaaa"))</f>
        <v>SETEMBRO 2024</v>
      </c>
      <c r="B98" s="113"/>
      <c r="C98" s="113"/>
      <c r="D98" s="81"/>
      <c r="E98" s="112" t="str">
        <f>UPPER(TEXT(E100,"mmmm")&amp;" "&amp;TEXT(E100,"aaaa"))</f>
        <v>OUTUBRO 2024</v>
      </c>
      <c r="F98" s="113"/>
      <c r="G98" s="113"/>
      <c r="H98" s="81"/>
      <c r="I98" s="112" t="str">
        <f>UPPER(TEXT(I100,"mmmm")&amp;" "&amp;TEXT(I100,"aaaa"))</f>
        <v>NOVEMBRO 2024</v>
      </c>
      <c r="J98" s="113"/>
      <c r="K98" s="113"/>
      <c r="L98" s="81"/>
      <c r="M98" s="112" t="str">
        <f>UPPER(TEXT(M100,"mmmm")&amp;" "&amp;TEXT(M100,"aaaa"))</f>
        <v>DEZEMBRO 2024</v>
      </c>
      <c r="N98" s="113"/>
      <c r="O98" s="113"/>
    </row>
    <row r="99" spans="1:15" x14ac:dyDescent="0.25">
      <c r="A99" s="47" t="s">
        <v>97</v>
      </c>
      <c r="B99" s="48" t="s">
        <v>98</v>
      </c>
      <c r="C99" s="49" t="s">
        <v>99</v>
      </c>
      <c r="D99" s="81"/>
      <c r="E99" s="47" t="s">
        <v>97</v>
      </c>
      <c r="F99" s="48" t="s">
        <v>98</v>
      </c>
      <c r="G99" s="49" t="s">
        <v>99</v>
      </c>
      <c r="H99" s="81"/>
      <c r="I99" s="47" t="s">
        <v>97</v>
      </c>
      <c r="J99" s="48" t="s">
        <v>98</v>
      </c>
      <c r="K99" s="49" t="s">
        <v>99</v>
      </c>
      <c r="L99" s="81"/>
      <c r="M99" s="47" t="s">
        <v>97</v>
      </c>
      <c r="N99" s="48" t="s">
        <v>98</v>
      </c>
      <c r="O99" s="49" t="s">
        <v>99</v>
      </c>
    </row>
    <row r="100" spans="1:15" x14ac:dyDescent="0.25">
      <c r="A100" s="66">
        <v>45536</v>
      </c>
      <c r="B100" s="67" t="str">
        <f>"SALDO "&amp;UPPER(TEXT(A100-1,"mmmm"))</f>
        <v>SALDO AGOSTO</v>
      </c>
      <c r="C100" s="32">
        <f>O94</f>
        <v>-7344.5507220203017</v>
      </c>
      <c r="D100" s="45"/>
      <c r="E100" s="66">
        <v>45566</v>
      </c>
      <c r="F100" s="67" t="str">
        <f>"SALDO "&amp;UPPER(TEXT(E100-1,"mmmm"))</f>
        <v>SALDO SETEMBRO</v>
      </c>
      <c r="G100" s="32">
        <f>C117</f>
        <v>-9403.6307220203016</v>
      </c>
      <c r="H100" s="45"/>
      <c r="I100" s="66">
        <v>45597</v>
      </c>
      <c r="J100" s="67" t="str">
        <f>"SALDO "&amp;UPPER(TEXT(I100-1,"mmmm"))</f>
        <v>SALDO OUTUBRO</v>
      </c>
      <c r="K100" s="32">
        <f>G117</f>
        <v>-11462.710722020302</v>
      </c>
      <c r="L100" s="45"/>
      <c r="M100" s="66">
        <v>45627</v>
      </c>
      <c r="N100" s="67" t="str">
        <f>"SALDO "&amp;UPPER(TEXT(M100-1,"mmmm"))</f>
        <v>SALDO NOVEMBRO</v>
      </c>
      <c r="O100" s="32">
        <f>K117</f>
        <v>-13521.790722020301</v>
      </c>
    </row>
    <row r="101" spans="1:15" x14ac:dyDescent="0.25">
      <c r="A101" s="66">
        <f>A100+28</f>
        <v>45564</v>
      </c>
      <c r="B101" s="67" t="s">
        <v>57</v>
      </c>
      <c r="C101" s="32">
        <v>-2059.08</v>
      </c>
      <c r="D101" s="45"/>
      <c r="E101" s="66">
        <f>E100+28</f>
        <v>45594</v>
      </c>
      <c r="F101" s="67" t="s">
        <v>58</v>
      </c>
      <c r="G101" s="32">
        <v>-2059.08</v>
      </c>
      <c r="H101" s="45"/>
      <c r="I101" s="66">
        <f>I100+28</f>
        <v>45625</v>
      </c>
      <c r="J101" s="67" t="s">
        <v>53</v>
      </c>
      <c r="K101" s="32">
        <v>-2059.08</v>
      </c>
      <c r="L101" s="45"/>
      <c r="M101" s="66">
        <f>M100+28</f>
        <v>45655</v>
      </c>
      <c r="N101" s="67" t="s">
        <v>53</v>
      </c>
      <c r="O101" s="32">
        <v>-2059.08</v>
      </c>
    </row>
    <row r="102" spans="1:15" x14ac:dyDescent="0.25">
      <c r="A102" s="66"/>
      <c r="B102" s="67"/>
      <c r="C102" s="32"/>
      <c r="D102" s="45"/>
      <c r="E102" s="66"/>
      <c r="F102" s="67"/>
      <c r="G102" s="32"/>
      <c r="H102" s="45"/>
      <c r="I102" s="66"/>
      <c r="J102" s="67"/>
      <c r="K102" s="32"/>
      <c r="L102" s="45"/>
      <c r="M102" s="66"/>
      <c r="N102" s="67"/>
      <c r="O102" s="32"/>
    </row>
    <row r="103" spans="1:15" x14ac:dyDescent="0.25">
      <c r="A103" s="66"/>
      <c r="B103" s="67"/>
      <c r="C103" s="32"/>
      <c r="D103" s="45"/>
      <c r="E103" s="66"/>
      <c r="F103" s="67"/>
      <c r="G103" s="32"/>
      <c r="H103" s="45"/>
      <c r="I103" s="66"/>
      <c r="J103" s="67"/>
      <c r="K103" s="32"/>
      <c r="L103" s="45"/>
      <c r="M103" s="66"/>
      <c r="N103" s="67"/>
      <c r="O103" s="32"/>
    </row>
    <row r="104" spans="1:15" x14ac:dyDescent="0.25">
      <c r="A104" s="66"/>
      <c r="B104" s="67"/>
      <c r="C104" s="32"/>
      <c r="D104" s="45"/>
      <c r="E104" s="66"/>
      <c r="F104" s="67"/>
      <c r="G104" s="32"/>
      <c r="H104" s="45"/>
      <c r="I104" s="66"/>
      <c r="J104" s="67"/>
      <c r="K104" s="32"/>
      <c r="L104" s="45"/>
      <c r="M104" s="66"/>
      <c r="N104" s="67"/>
      <c r="O104" s="32"/>
    </row>
    <row r="105" spans="1:15" x14ac:dyDescent="0.25">
      <c r="A105" s="66"/>
      <c r="B105" s="67"/>
      <c r="C105" s="32"/>
      <c r="D105" s="45"/>
      <c r="E105" s="66"/>
      <c r="F105" s="67"/>
      <c r="G105" s="32"/>
      <c r="H105" s="45"/>
      <c r="I105" s="66"/>
      <c r="J105" s="67"/>
      <c r="K105" s="32"/>
      <c r="L105" s="45"/>
      <c r="M105" s="66"/>
      <c r="N105" s="67"/>
      <c r="O105" s="32"/>
    </row>
    <row r="106" spans="1:15" ht="3" customHeight="1" x14ac:dyDescent="0.25">
      <c r="A106" s="82"/>
      <c r="B106" s="45"/>
      <c r="C106" s="38"/>
      <c r="D106" s="45"/>
      <c r="E106" s="82"/>
      <c r="F106" s="45"/>
      <c r="G106" s="38"/>
      <c r="H106" s="45"/>
      <c r="I106" s="82"/>
      <c r="J106" s="45"/>
      <c r="K106" s="38"/>
      <c r="L106" s="45"/>
      <c r="M106" s="82"/>
      <c r="N106" s="45"/>
      <c r="O106" s="38"/>
    </row>
    <row r="107" spans="1:15" ht="15.75" customHeight="1" x14ac:dyDescent="0.25">
      <c r="A107" s="68" t="s">
        <v>109</v>
      </c>
      <c r="B107" s="69">
        <f>A100</f>
        <v>45536</v>
      </c>
      <c r="C107" s="52">
        <f>SUM(C100:C105)</f>
        <v>-9403.6307220203016</v>
      </c>
      <c r="D107" s="45"/>
      <c r="E107" s="68" t="s">
        <v>109</v>
      </c>
      <c r="F107" s="69">
        <f>E100</f>
        <v>45566</v>
      </c>
      <c r="G107" s="52">
        <f>SUM(G100:G105)</f>
        <v>-11462.710722020302</v>
      </c>
      <c r="H107" s="45"/>
      <c r="I107" s="68" t="s">
        <v>109</v>
      </c>
      <c r="J107" s="69">
        <f>I100</f>
        <v>45597</v>
      </c>
      <c r="K107" s="52">
        <f>SUM(K100:K105)</f>
        <v>-13521.790722020301</v>
      </c>
      <c r="L107" s="45"/>
      <c r="M107" s="68" t="s">
        <v>109</v>
      </c>
      <c r="N107" s="69">
        <f>M100</f>
        <v>45627</v>
      </c>
      <c r="O107" s="52">
        <f>SUM(O100:O105)</f>
        <v>-15580.870722020301</v>
      </c>
    </row>
    <row r="108" spans="1:15" ht="3" customHeight="1" x14ac:dyDescent="0.25">
      <c r="A108" s="83"/>
      <c r="B108" s="45"/>
      <c r="C108" s="40"/>
      <c r="D108" s="45"/>
      <c r="E108" s="83"/>
      <c r="F108" s="45"/>
      <c r="G108" s="40"/>
      <c r="H108" s="45"/>
      <c r="I108" s="83"/>
      <c r="J108" s="45"/>
      <c r="K108" s="40"/>
      <c r="L108" s="45"/>
      <c r="M108" s="83"/>
      <c r="N108" s="45"/>
      <c r="O108" s="40"/>
    </row>
    <row r="109" spans="1:15" x14ac:dyDescent="0.25">
      <c r="A109" s="72"/>
      <c r="B109" s="73"/>
      <c r="C109" s="55"/>
      <c r="D109" s="61"/>
      <c r="E109" s="72"/>
      <c r="F109" s="73"/>
      <c r="G109" s="55"/>
      <c r="H109" s="61"/>
      <c r="I109" s="72"/>
      <c r="J109" s="73"/>
      <c r="K109" s="55"/>
      <c r="L109" s="61"/>
      <c r="M109" s="72"/>
      <c r="N109" s="73"/>
      <c r="O109" s="55"/>
    </row>
    <row r="110" spans="1:15" x14ac:dyDescent="0.25">
      <c r="A110" s="72"/>
      <c r="B110" s="73"/>
      <c r="C110" s="55"/>
      <c r="D110" s="61"/>
      <c r="E110" s="72"/>
      <c r="F110" s="73"/>
      <c r="G110" s="55"/>
      <c r="H110" s="61"/>
      <c r="I110" s="72"/>
      <c r="J110" s="73"/>
      <c r="K110" s="55"/>
      <c r="L110" s="61"/>
      <c r="M110" s="72"/>
      <c r="N110" s="73"/>
      <c r="O110" s="55"/>
    </row>
    <row r="111" spans="1:15" x14ac:dyDescent="0.25">
      <c r="A111" s="72"/>
      <c r="B111" s="73"/>
      <c r="C111" s="55"/>
      <c r="D111" s="61"/>
      <c r="E111" s="72"/>
      <c r="F111" s="73"/>
      <c r="G111" s="55"/>
      <c r="H111" s="61"/>
      <c r="I111" s="72"/>
      <c r="J111" s="73"/>
      <c r="K111" s="55"/>
      <c r="L111" s="61"/>
      <c r="M111" s="72"/>
      <c r="N111" s="73"/>
      <c r="O111" s="55"/>
    </row>
    <row r="112" spans="1:15" x14ac:dyDescent="0.25">
      <c r="A112" s="72"/>
      <c r="B112" s="73"/>
      <c r="C112" s="55"/>
      <c r="D112" s="61"/>
      <c r="E112" s="72"/>
      <c r="F112" s="73"/>
      <c r="G112" s="55"/>
      <c r="H112" s="61"/>
      <c r="I112" s="72"/>
      <c r="J112" s="73"/>
      <c r="K112" s="55"/>
      <c r="L112" s="61"/>
      <c r="M112" s="72"/>
      <c r="N112" s="73"/>
      <c r="O112" s="55"/>
    </row>
    <row r="113" spans="1:15" x14ac:dyDescent="0.25">
      <c r="A113" s="72"/>
      <c r="B113" s="73"/>
      <c r="C113" s="55"/>
      <c r="D113" s="61"/>
      <c r="E113" s="72"/>
      <c r="F113" s="73"/>
      <c r="G113" s="55"/>
      <c r="H113" s="61"/>
      <c r="I113" s="72"/>
      <c r="J113" s="73"/>
      <c r="K113" s="55"/>
      <c r="L113" s="61"/>
      <c r="M113" s="72"/>
      <c r="N113" s="73"/>
      <c r="O113" s="55"/>
    </row>
    <row r="114" spans="1:15" ht="3" customHeight="1" x14ac:dyDescent="0.25">
      <c r="A114" s="82"/>
      <c r="B114" s="45"/>
      <c r="C114" s="38"/>
      <c r="D114" s="45"/>
      <c r="E114" s="82"/>
      <c r="F114" s="45"/>
      <c r="G114" s="38"/>
      <c r="H114" s="61"/>
      <c r="I114" s="82"/>
      <c r="J114" s="45"/>
      <c r="K114" s="38"/>
      <c r="L114" s="61"/>
      <c r="M114" s="82"/>
      <c r="N114" s="45"/>
      <c r="O114" s="38"/>
    </row>
    <row r="115" spans="1:15" ht="15.75" customHeight="1" x14ac:dyDescent="0.25">
      <c r="A115" s="74" t="s">
        <v>3</v>
      </c>
      <c r="B115" s="73" t="s">
        <v>110</v>
      </c>
      <c r="C115" s="57">
        <f>SUM(C109:C113)</f>
        <v>0</v>
      </c>
      <c r="D115" s="61"/>
      <c r="E115" s="74" t="s">
        <v>3</v>
      </c>
      <c r="F115" s="73" t="s">
        <v>110</v>
      </c>
      <c r="G115" s="57">
        <f>SUM(G109:G113)</f>
        <v>0</v>
      </c>
      <c r="H115" s="61"/>
      <c r="I115" s="74" t="s">
        <v>3</v>
      </c>
      <c r="J115" s="73" t="s">
        <v>110</v>
      </c>
      <c r="K115" s="57">
        <f>SUM(K109:K113)</f>
        <v>0</v>
      </c>
      <c r="L115" s="61"/>
      <c r="M115" s="74" t="s">
        <v>3</v>
      </c>
      <c r="N115" s="73" t="s">
        <v>110</v>
      </c>
      <c r="O115" s="57">
        <f>SUM(O109:O113)</f>
        <v>0</v>
      </c>
    </row>
    <row r="116" spans="1:15" ht="3" customHeight="1" x14ac:dyDescent="0.25">
      <c r="A116" s="82"/>
      <c r="B116" s="45"/>
      <c r="C116" s="44"/>
      <c r="D116" s="45"/>
      <c r="E116" s="82"/>
      <c r="F116" s="45"/>
      <c r="G116" s="44"/>
      <c r="H116" s="45"/>
      <c r="I116" s="82"/>
      <c r="J116" s="45"/>
      <c r="K116" s="44"/>
      <c r="L116" s="45"/>
      <c r="M116" s="82"/>
      <c r="N116" s="45"/>
      <c r="O116" s="44"/>
    </row>
    <row r="117" spans="1:15" ht="15.75" customHeight="1" x14ac:dyDescent="0.25">
      <c r="A117" s="75" t="s">
        <v>111</v>
      </c>
      <c r="B117" s="76">
        <f>B107</f>
        <v>45536</v>
      </c>
      <c r="C117" s="25">
        <f>C107+C115</f>
        <v>-9403.6307220203016</v>
      </c>
      <c r="D117" s="45"/>
      <c r="E117" s="75" t="s">
        <v>111</v>
      </c>
      <c r="F117" s="76">
        <f>F107</f>
        <v>45566</v>
      </c>
      <c r="G117" s="25">
        <f>G107+G115</f>
        <v>-11462.710722020302</v>
      </c>
      <c r="H117" s="45"/>
      <c r="I117" s="75" t="s">
        <v>111</v>
      </c>
      <c r="J117" s="76">
        <f>J107</f>
        <v>45597</v>
      </c>
      <c r="K117" s="25">
        <f>K107+K115</f>
        <v>-13521.790722020301</v>
      </c>
      <c r="L117" s="45"/>
      <c r="M117" s="75" t="s">
        <v>111</v>
      </c>
      <c r="N117" s="76">
        <f>N107</f>
        <v>45627</v>
      </c>
      <c r="O117" s="25">
        <f>O107+O115</f>
        <v>-15580.870722020301</v>
      </c>
    </row>
    <row r="118" spans="1:15" ht="3" customHeight="1" x14ac:dyDescent="0.25">
      <c r="A118" s="82"/>
      <c r="B118" s="45"/>
      <c r="C118" s="44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</row>
    <row r="119" spans="1:15" x14ac:dyDescent="0.25">
      <c r="A119" s="77"/>
      <c r="B119" s="63" t="s">
        <v>112</v>
      </c>
      <c r="C119" s="64">
        <f>IF(C117&lt;0,C117*8%,0)</f>
        <v>-752.29045776162411</v>
      </c>
      <c r="D119" s="61"/>
      <c r="E119" s="77"/>
      <c r="F119" s="63" t="s">
        <v>112</v>
      </c>
      <c r="G119" s="64">
        <f>IF(G117&lt;0,G117*8%,0)</f>
        <v>-917.01685776162412</v>
      </c>
      <c r="H119" s="61"/>
      <c r="I119" s="77"/>
      <c r="J119" s="63" t="s">
        <v>112</v>
      </c>
      <c r="K119" s="64">
        <f>IF(K117&lt;0,K117*8%,0)</f>
        <v>-1081.7432577616241</v>
      </c>
      <c r="L119" s="61"/>
      <c r="M119" s="77"/>
      <c r="N119" s="63" t="s">
        <v>112</v>
      </c>
      <c r="O119" s="64">
        <f>IF(O117&lt;0,O117*8%,0)</f>
        <v>-1246.4696577616241</v>
      </c>
    </row>
  </sheetData>
  <mergeCells count="20">
    <mergeCell ref="A98:C98"/>
    <mergeCell ref="E98:G98"/>
    <mergeCell ref="I98:K98"/>
    <mergeCell ref="M98:O98"/>
    <mergeCell ref="A52:C52"/>
    <mergeCell ref="E52:G52"/>
    <mergeCell ref="I52:K52"/>
    <mergeCell ref="M52:O52"/>
    <mergeCell ref="A75:C75"/>
    <mergeCell ref="E75:G75"/>
    <mergeCell ref="I75:K75"/>
    <mergeCell ref="M75:O75"/>
    <mergeCell ref="A2:C2"/>
    <mergeCell ref="E2:G2"/>
    <mergeCell ref="I2:K2"/>
    <mergeCell ref="M2:O2"/>
    <mergeCell ref="A29:C29"/>
    <mergeCell ref="E29:G29"/>
    <mergeCell ref="I29:K29"/>
    <mergeCell ref="M29:O29"/>
  </mergeCells>
  <conditionalFormatting sqref="C6:C13">
    <cfRule type="expression" dxfId="680" priority="164">
      <formula>$D6&lt;&gt;""</formula>
    </cfRule>
  </conditionalFormatting>
  <conditionalFormatting sqref="A5:C5">
    <cfRule type="expression" dxfId="679" priority="166">
      <formula>$D5&lt;&gt;""</formula>
    </cfRule>
  </conditionalFormatting>
  <conditionalFormatting sqref="A6:B6">
    <cfRule type="expression" dxfId="678" priority="165">
      <formula>$D6&lt;&gt;""</formula>
    </cfRule>
  </conditionalFormatting>
  <conditionalFormatting sqref="C17:C21">
    <cfRule type="expression" dxfId="677" priority="163">
      <formula>$D18&lt;&gt;""</formula>
    </cfRule>
  </conditionalFormatting>
  <conditionalFormatting sqref="C4">
    <cfRule type="expression" dxfId="676" priority="167">
      <formula>$D14&lt;&gt;""</formula>
    </cfRule>
  </conditionalFormatting>
  <conditionalFormatting sqref="C35">
    <cfRule type="expression" dxfId="675" priority="142">
      <formula>$D34&lt;&gt;""</formula>
    </cfRule>
  </conditionalFormatting>
  <conditionalFormatting sqref="C40:C44">
    <cfRule type="expression" dxfId="674" priority="145">
      <formula>$D40&lt;&gt;""</formula>
    </cfRule>
  </conditionalFormatting>
  <conditionalFormatting sqref="A32:C32">
    <cfRule type="expression" dxfId="673" priority="144">
      <formula>$D31&lt;&gt;""</formula>
    </cfRule>
  </conditionalFormatting>
  <conditionalFormatting sqref="A33:B33">
    <cfRule type="expression" dxfId="672" priority="143">
      <formula>$D32&lt;&gt;""</formula>
    </cfRule>
  </conditionalFormatting>
  <conditionalFormatting sqref="C33">
    <cfRule type="expression" dxfId="671" priority="141">
      <formula>$D32&lt;&gt;""</formula>
    </cfRule>
  </conditionalFormatting>
  <conditionalFormatting sqref="C34">
    <cfRule type="expression" dxfId="670" priority="140">
      <formula>$D33&lt;&gt;""</formula>
    </cfRule>
  </conditionalFormatting>
  <conditionalFormatting sqref="G35">
    <cfRule type="expression" dxfId="669" priority="135">
      <formula>$D34&lt;&gt;""</formula>
    </cfRule>
  </conditionalFormatting>
  <conditionalFormatting sqref="G40:G44">
    <cfRule type="expression" dxfId="668" priority="138">
      <formula>$D40&lt;&gt;""</formula>
    </cfRule>
  </conditionalFormatting>
  <conditionalFormatting sqref="E32:G32">
    <cfRule type="expression" dxfId="667" priority="137">
      <formula>$D31&lt;&gt;""</formula>
    </cfRule>
  </conditionalFormatting>
  <conditionalFormatting sqref="E33:F33">
    <cfRule type="expression" dxfId="666" priority="136">
      <formula>$D32&lt;&gt;""</formula>
    </cfRule>
  </conditionalFormatting>
  <conditionalFormatting sqref="G33">
    <cfRule type="expression" dxfId="665" priority="134">
      <formula>$D32&lt;&gt;""</formula>
    </cfRule>
  </conditionalFormatting>
  <conditionalFormatting sqref="G34">
    <cfRule type="expression" dxfId="664" priority="133">
      <formula>$D33&lt;&gt;""</formula>
    </cfRule>
  </conditionalFormatting>
  <conditionalFormatting sqref="G31">
    <cfRule type="expression" dxfId="663" priority="139">
      <formula>#REF!&lt;&gt;""</formula>
    </cfRule>
  </conditionalFormatting>
  <conditionalFormatting sqref="K35">
    <cfRule type="expression" dxfId="662" priority="128">
      <formula>$D34&lt;&gt;""</formula>
    </cfRule>
  </conditionalFormatting>
  <conditionalFormatting sqref="K40:K44">
    <cfRule type="expression" dxfId="661" priority="131">
      <formula>$D40&lt;&gt;""</formula>
    </cfRule>
  </conditionalFormatting>
  <conditionalFormatting sqref="I32:K32">
    <cfRule type="expression" dxfId="660" priority="130">
      <formula>$D31&lt;&gt;""</formula>
    </cfRule>
  </conditionalFormatting>
  <conditionalFormatting sqref="I33:J33">
    <cfRule type="expression" dxfId="659" priority="129">
      <formula>$D32&lt;&gt;""</formula>
    </cfRule>
  </conditionalFormatting>
  <conditionalFormatting sqref="K33">
    <cfRule type="expression" dxfId="658" priority="127">
      <formula>$D32&lt;&gt;""</formula>
    </cfRule>
  </conditionalFormatting>
  <conditionalFormatting sqref="K34">
    <cfRule type="expression" dxfId="657" priority="126">
      <formula>$D33&lt;&gt;""</formula>
    </cfRule>
  </conditionalFormatting>
  <conditionalFormatting sqref="K31">
    <cfRule type="expression" dxfId="656" priority="132">
      <formula>#REF!&lt;&gt;""</formula>
    </cfRule>
  </conditionalFormatting>
  <conditionalFormatting sqref="O35:O36">
    <cfRule type="expression" dxfId="655" priority="121">
      <formula>$D34&lt;&gt;""</formula>
    </cfRule>
  </conditionalFormatting>
  <conditionalFormatting sqref="O40:O44">
    <cfRule type="expression" dxfId="654" priority="124">
      <formula>$D40&lt;&gt;""</formula>
    </cfRule>
  </conditionalFormatting>
  <conditionalFormatting sqref="M32:O32">
    <cfRule type="expression" dxfId="653" priority="123">
      <formula>$D31&lt;&gt;""</formula>
    </cfRule>
  </conditionalFormatting>
  <conditionalFormatting sqref="M33:N33">
    <cfRule type="expression" dxfId="652" priority="122">
      <formula>$D32&lt;&gt;""</formula>
    </cfRule>
  </conditionalFormatting>
  <conditionalFormatting sqref="O33">
    <cfRule type="expression" dxfId="651" priority="120">
      <formula>$D32&lt;&gt;""</formula>
    </cfRule>
  </conditionalFormatting>
  <conditionalFormatting sqref="O34">
    <cfRule type="expression" dxfId="650" priority="119">
      <formula>$D33&lt;&gt;""</formula>
    </cfRule>
  </conditionalFormatting>
  <conditionalFormatting sqref="O31">
    <cfRule type="expression" dxfId="649" priority="125">
      <formula>#REF!&lt;&gt;""</formula>
    </cfRule>
  </conditionalFormatting>
  <conditionalFormatting sqref="C31">
    <cfRule type="expression" dxfId="648" priority="118">
      <formula>$D30&lt;&gt;""</formula>
    </cfRule>
  </conditionalFormatting>
  <conditionalFormatting sqref="K36">
    <cfRule type="expression" dxfId="647" priority="117">
      <formula>$D35&lt;&gt;""</formula>
    </cfRule>
  </conditionalFormatting>
  <conditionalFormatting sqref="G36">
    <cfRule type="expression" dxfId="646" priority="116">
      <formula>$D35&lt;&gt;""</formula>
    </cfRule>
  </conditionalFormatting>
  <conditionalFormatting sqref="C36">
    <cfRule type="expression" dxfId="645" priority="115">
      <formula>$D35&lt;&gt;""</formula>
    </cfRule>
  </conditionalFormatting>
  <conditionalFormatting sqref="C58">
    <cfRule type="expression" dxfId="644" priority="110">
      <formula>$D57&lt;&gt;""</formula>
    </cfRule>
  </conditionalFormatting>
  <conditionalFormatting sqref="C63:C67">
    <cfRule type="expression" dxfId="643" priority="113">
      <formula>$D63&lt;&gt;""</formula>
    </cfRule>
  </conditionalFormatting>
  <conditionalFormatting sqref="A55:C55">
    <cfRule type="expression" dxfId="642" priority="112">
      <formula>$D54&lt;&gt;""</formula>
    </cfRule>
  </conditionalFormatting>
  <conditionalFormatting sqref="A56:B56">
    <cfRule type="expression" dxfId="641" priority="111">
      <formula>$D55&lt;&gt;""</formula>
    </cfRule>
  </conditionalFormatting>
  <conditionalFormatting sqref="C56">
    <cfRule type="expression" dxfId="640" priority="109">
      <formula>$D55&lt;&gt;""</formula>
    </cfRule>
  </conditionalFormatting>
  <conditionalFormatting sqref="C57">
    <cfRule type="expression" dxfId="639" priority="108">
      <formula>$D56&lt;&gt;""</formula>
    </cfRule>
  </conditionalFormatting>
  <conditionalFormatting sqref="C54">
    <cfRule type="expression" dxfId="638" priority="114">
      <formula>#REF!&lt;&gt;""</formula>
    </cfRule>
  </conditionalFormatting>
  <conditionalFormatting sqref="G58">
    <cfRule type="expression" dxfId="637" priority="103">
      <formula>$D57&lt;&gt;""</formula>
    </cfRule>
  </conditionalFormatting>
  <conditionalFormatting sqref="G63:G67">
    <cfRule type="expression" dxfId="636" priority="106">
      <formula>$D63&lt;&gt;""</formula>
    </cfRule>
  </conditionalFormatting>
  <conditionalFormatting sqref="E55:G55">
    <cfRule type="expression" dxfId="635" priority="105">
      <formula>$D54&lt;&gt;""</formula>
    </cfRule>
  </conditionalFormatting>
  <conditionalFormatting sqref="E56:F56">
    <cfRule type="expression" dxfId="634" priority="104">
      <formula>$D55&lt;&gt;""</formula>
    </cfRule>
  </conditionalFormatting>
  <conditionalFormatting sqref="G56">
    <cfRule type="expression" dxfId="633" priority="102">
      <formula>$D55&lt;&gt;""</formula>
    </cfRule>
  </conditionalFormatting>
  <conditionalFormatting sqref="G57">
    <cfRule type="expression" dxfId="632" priority="101">
      <formula>$D56&lt;&gt;""</formula>
    </cfRule>
  </conditionalFormatting>
  <conditionalFormatting sqref="G54">
    <cfRule type="expression" dxfId="631" priority="107">
      <formula>#REF!&lt;&gt;""</formula>
    </cfRule>
  </conditionalFormatting>
  <conditionalFormatting sqref="K58">
    <cfRule type="expression" dxfId="630" priority="96">
      <formula>$D57&lt;&gt;""</formula>
    </cfRule>
  </conditionalFormatting>
  <conditionalFormatting sqref="K63:K67">
    <cfRule type="expression" dxfId="629" priority="99">
      <formula>$D63&lt;&gt;""</formula>
    </cfRule>
  </conditionalFormatting>
  <conditionalFormatting sqref="I55:K55">
    <cfRule type="expression" dxfId="628" priority="98">
      <formula>$D54&lt;&gt;""</formula>
    </cfRule>
  </conditionalFormatting>
  <conditionalFormatting sqref="I56:J56">
    <cfRule type="expression" dxfId="627" priority="97">
      <formula>$D55&lt;&gt;""</formula>
    </cfRule>
  </conditionalFormatting>
  <conditionalFormatting sqref="K56">
    <cfRule type="expression" dxfId="626" priority="95">
      <formula>$D55&lt;&gt;""</formula>
    </cfRule>
  </conditionalFormatting>
  <conditionalFormatting sqref="K57">
    <cfRule type="expression" dxfId="625" priority="94">
      <formula>$D56&lt;&gt;""</formula>
    </cfRule>
  </conditionalFormatting>
  <conditionalFormatting sqref="K54">
    <cfRule type="expression" dxfId="624" priority="100">
      <formula>#REF!&lt;&gt;""</formula>
    </cfRule>
  </conditionalFormatting>
  <conditionalFormatting sqref="O58">
    <cfRule type="expression" dxfId="623" priority="89">
      <formula>$D57&lt;&gt;""</formula>
    </cfRule>
  </conditionalFormatting>
  <conditionalFormatting sqref="O63 O65:O67">
    <cfRule type="expression" dxfId="622" priority="92">
      <formula>$D63&lt;&gt;""</formula>
    </cfRule>
  </conditionalFormatting>
  <conditionalFormatting sqref="M55:O55">
    <cfRule type="expression" dxfId="621" priority="91">
      <formula>$D54&lt;&gt;""</formula>
    </cfRule>
  </conditionalFormatting>
  <conditionalFormatting sqref="M56:N56">
    <cfRule type="expression" dxfId="620" priority="90">
      <formula>$D55&lt;&gt;""</formula>
    </cfRule>
  </conditionalFormatting>
  <conditionalFormatting sqref="O56">
    <cfRule type="expression" dxfId="619" priority="88">
      <formula>$D55&lt;&gt;""</formula>
    </cfRule>
  </conditionalFormatting>
  <conditionalFormatting sqref="O57">
    <cfRule type="expression" dxfId="618" priority="87">
      <formula>$D56&lt;&gt;""</formula>
    </cfRule>
  </conditionalFormatting>
  <conditionalFormatting sqref="O54">
    <cfRule type="expression" dxfId="617" priority="93">
      <formula>#REF!&lt;&gt;""</formula>
    </cfRule>
  </conditionalFormatting>
  <conditionalFormatting sqref="C81">
    <cfRule type="expression" dxfId="616" priority="81">
      <formula>$D80&lt;&gt;""</formula>
    </cfRule>
  </conditionalFormatting>
  <conditionalFormatting sqref="C87:C90">
    <cfRule type="expression" dxfId="615" priority="84">
      <formula>$D87&lt;&gt;""</formula>
    </cfRule>
  </conditionalFormatting>
  <conditionalFormatting sqref="A78:C78">
    <cfRule type="expression" dxfId="614" priority="83">
      <formula>$D77&lt;&gt;""</formula>
    </cfRule>
  </conditionalFormatting>
  <conditionalFormatting sqref="A79:B79">
    <cfRule type="expression" dxfId="613" priority="82">
      <formula>$D78&lt;&gt;""</formula>
    </cfRule>
  </conditionalFormatting>
  <conditionalFormatting sqref="C79">
    <cfRule type="expression" dxfId="612" priority="80">
      <formula>$D78&lt;&gt;""</formula>
    </cfRule>
  </conditionalFormatting>
  <conditionalFormatting sqref="C80">
    <cfRule type="expression" dxfId="611" priority="79">
      <formula>$D79&lt;&gt;""</formula>
    </cfRule>
  </conditionalFormatting>
  <conditionalFormatting sqref="C77">
    <cfRule type="expression" dxfId="610" priority="85">
      <formula>#REF!&lt;&gt;""</formula>
    </cfRule>
  </conditionalFormatting>
  <conditionalFormatting sqref="G81">
    <cfRule type="expression" dxfId="609" priority="74">
      <formula>$D80&lt;&gt;""</formula>
    </cfRule>
  </conditionalFormatting>
  <conditionalFormatting sqref="G87:G90">
    <cfRule type="expression" dxfId="608" priority="77">
      <formula>$D87&lt;&gt;""</formula>
    </cfRule>
  </conditionalFormatting>
  <conditionalFormatting sqref="E78:G78">
    <cfRule type="expression" dxfId="607" priority="76">
      <formula>$D77&lt;&gt;""</formula>
    </cfRule>
  </conditionalFormatting>
  <conditionalFormatting sqref="E79:F79">
    <cfRule type="expression" dxfId="606" priority="75">
      <formula>$D78&lt;&gt;""</formula>
    </cfRule>
  </conditionalFormatting>
  <conditionalFormatting sqref="G79">
    <cfRule type="expression" dxfId="605" priority="73">
      <formula>$D78&lt;&gt;""</formula>
    </cfRule>
  </conditionalFormatting>
  <conditionalFormatting sqref="G80">
    <cfRule type="expression" dxfId="604" priority="72">
      <formula>$D79&lt;&gt;""</formula>
    </cfRule>
  </conditionalFormatting>
  <conditionalFormatting sqref="G77">
    <cfRule type="expression" dxfId="603" priority="78">
      <formula>#REF!&lt;&gt;""</formula>
    </cfRule>
  </conditionalFormatting>
  <conditionalFormatting sqref="K81">
    <cfRule type="expression" dxfId="602" priority="67">
      <formula>$D80&lt;&gt;""</formula>
    </cfRule>
  </conditionalFormatting>
  <conditionalFormatting sqref="K86:K90">
    <cfRule type="expression" dxfId="601" priority="70">
      <formula>$D86&lt;&gt;""</formula>
    </cfRule>
  </conditionalFormatting>
  <conditionalFormatting sqref="I78:K78">
    <cfRule type="expression" dxfId="600" priority="69">
      <formula>$D77&lt;&gt;""</formula>
    </cfRule>
  </conditionalFormatting>
  <conditionalFormatting sqref="I79:J79">
    <cfRule type="expression" dxfId="599" priority="68">
      <formula>$D78&lt;&gt;""</formula>
    </cfRule>
  </conditionalFormatting>
  <conditionalFormatting sqref="K79">
    <cfRule type="expression" dxfId="598" priority="66">
      <formula>$D78&lt;&gt;""</formula>
    </cfRule>
  </conditionalFormatting>
  <conditionalFormatting sqref="K80">
    <cfRule type="expression" dxfId="597" priority="65">
      <formula>$D79&lt;&gt;""</formula>
    </cfRule>
  </conditionalFormatting>
  <conditionalFormatting sqref="K77">
    <cfRule type="expression" dxfId="596" priority="71">
      <formula>#REF!&lt;&gt;""</formula>
    </cfRule>
  </conditionalFormatting>
  <conditionalFormatting sqref="O81">
    <cfRule type="expression" dxfId="595" priority="60">
      <formula>$D80&lt;&gt;""</formula>
    </cfRule>
  </conditionalFormatting>
  <conditionalFormatting sqref="O86:O90">
    <cfRule type="expression" dxfId="594" priority="63">
      <formula>$D86&lt;&gt;""</formula>
    </cfRule>
  </conditionalFormatting>
  <conditionalFormatting sqref="M78:O78">
    <cfRule type="expression" dxfId="593" priority="62">
      <formula>$D77&lt;&gt;""</formula>
    </cfRule>
  </conditionalFormatting>
  <conditionalFormatting sqref="M79:N79">
    <cfRule type="expression" dxfId="592" priority="61">
      <formula>$D78&lt;&gt;""</formula>
    </cfRule>
  </conditionalFormatting>
  <conditionalFormatting sqref="O79">
    <cfRule type="expression" dxfId="591" priority="59">
      <formula>$D78&lt;&gt;""</formula>
    </cfRule>
  </conditionalFormatting>
  <conditionalFormatting sqref="O80">
    <cfRule type="expression" dxfId="590" priority="58">
      <formula>$D79&lt;&gt;""</formula>
    </cfRule>
  </conditionalFormatting>
  <conditionalFormatting sqref="O77">
    <cfRule type="expression" dxfId="589" priority="64">
      <formula>#REF!&lt;&gt;""</formula>
    </cfRule>
  </conditionalFormatting>
  <conditionalFormatting sqref="C104:C105">
    <cfRule type="expression" dxfId="588" priority="53">
      <formula>$D103&lt;&gt;""</formula>
    </cfRule>
  </conditionalFormatting>
  <conditionalFormatting sqref="C109:C113">
    <cfRule type="expression" dxfId="587" priority="56">
      <formula>$D109&lt;&gt;""</formula>
    </cfRule>
  </conditionalFormatting>
  <conditionalFormatting sqref="A101:C101">
    <cfRule type="expression" dxfId="586" priority="55">
      <formula>$D100&lt;&gt;""</formula>
    </cfRule>
  </conditionalFormatting>
  <conditionalFormatting sqref="A102:B102">
    <cfRule type="expression" dxfId="585" priority="54">
      <formula>$D101&lt;&gt;""</formula>
    </cfRule>
  </conditionalFormatting>
  <conditionalFormatting sqref="C102">
    <cfRule type="expression" dxfId="584" priority="52">
      <formula>$D101&lt;&gt;""</formula>
    </cfRule>
  </conditionalFormatting>
  <conditionalFormatting sqref="C103">
    <cfRule type="expression" dxfId="583" priority="51">
      <formula>$D102&lt;&gt;""</formula>
    </cfRule>
  </conditionalFormatting>
  <conditionalFormatting sqref="C100">
    <cfRule type="expression" dxfId="582" priority="57">
      <formula>#REF!&lt;&gt;""</formula>
    </cfRule>
  </conditionalFormatting>
  <conditionalFormatting sqref="G104:G105">
    <cfRule type="expression" dxfId="581" priority="46">
      <formula>$D103&lt;&gt;""</formula>
    </cfRule>
  </conditionalFormatting>
  <conditionalFormatting sqref="G109:G113">
    <cfRule type="expression" dxfId="580" priority="49">
      <formula>$D109&lt;&gt;""</formula>
    </cfRule>
  </conditionalFormatting>
  <conditionalFormatting sqref="E101:G101">
    <cfRule type="expression" dxfId="579" priority="48">
      <formula>$D100&lt;&gt;""</formula>
    </cfRule>
  </conditionalFormatting>
  <conditionalFormatting sqref="E102:F102">
    <cfRule type="expression" dxfId="578" priority="47">
      <formula>$D101&lt;&gt;""</formula>
    </cfRule>
  </conditionalFormatting>
  <conditionalFormatting sqref="G102">
    <cfRule type="expression" dxfId="577" priority="45">
      <formula>$D101&lt;&gt;""</formula>
    </cfRule>
  </conditionalFormatting>
  <conditionalFormatting sqref="G103">
    <cfRule type="expression" dxfId="576" priority="44">
      <formula>$D102&lt;&gt;""</formula>
    </cfRule>
  </conditionalFormatting>
  <conditionalFormatting sqref="G100">
    <cfRule type="expression" dxfId="575" priority="50">
      <formula>#REF!&lt;&gt;""</formula>
    </cfRule>
  </conditionalFormatting>
  <conditionalFormatting sqref="K104:K105">
    <cfRule type="expression" dxfId="574" priority="39">
      <formula>$D103&lt;&gt;""</formula>
    </cfRule>
  </conditionalFormatting>
  <conditionalFormatting sqref="K109:K113">
    <cfRule type="expression" dxfId="573" priority="42">
      <formula>$D109&lt;&gt;""</formula>
    </cfRule>
  </conditionalFormatting>
  <conditionalFormatting sqref="I101:K101">
    <cfRule type="expression" dxfId="572" priority="41">
      <formula>$D100&lt;&gt;""</formula>
    </cfRule>
  </conditionalFormatting>
  <conditionalFormatting sqref="I102:J102">
    <cfRule type="expression" dxfId="571" priority="40">
      <formula>$D101&lt;&gt;""</formula>
    </cfRule>
  </conditionalFormatting>
  <conditionalFormatting sqref="K102">
    <cfRule type="expression" dxfId="570" priority="38">
      <formula>$D101&lt;&gt;""</formula>
    </cfRule>
  </conditionalFormatting>
  <conditionalFormatting sqref="K103">
    <cfRule type="expression" dxfId="569" priority="37">
      <formula>$D102&lt;&gt;""</formula>
    </cfRule>
  </conditionalFormatting>
  <conditionalFormatting sqref="K100">
    <cfRule type="expression" dxfId="568" priority="43">
      <formula>#REF!&lt;&gt;""</formula>
    </cfRule>
  </conditionalFormatting>
  <conditionalFormatting sqref="O104:O105">
    <cfRule type="expression" dxfId="567" priority="32">
      <formula>$D103&lt;&gt;""</formula>
    </cfRule>
  </conditionalFormatting>
  <conditionalFormatting sqref="O109:O113">
    <cfRule type="expression" dxfId="566" priority="35">
      <formula>$D109&lt;&gt;""</formula>
    </cfRule>
  </conditionalFormatting>
  <conditionalFormatting sqref="M101:O101">
    <cfRule type="expression" dxfId="565" priority="34">
      <formula>$D100&lt;&gt;""</formula>
    </cfRule>
  </conditionalFormatting>
  <conditionalFormatting sqref="M102:N102">
    <cfRule type="expression" dxfId="564" priority="33">
      <formula>$D101&lt;&gt;""</formula>
    </cfRule>
  </conditionalFormatting>
  <conditionalFormatting sqref="O102">
    <cfRule type="expression" dxfId="563" priority="31">
      <formula>$D101&lt;&gt;""</formula>
    </cfRule>
  </conditionalFormatting>
  <conditionalFormatting sqref="O103">
    <cfRule type="expression" dxfId="562" priority="30">
      <formula>$D102&lt;&gt;""</formula>
    </cfRule>
  </conditionalFormatting>
  <conditionalFormatting sqref="O100">
    <cfRule type="expression" dxfId="561" priority="36">
      <formula>#REF!&lt;&gt;""</formula>
    </cfRule>
  </conditionalFormatting>
  <conditionalFormatting sqref="G6:G12">
    <cfRule type="expression" dxfId="560" priority="26">
      <formula>$D6&lt;&gt;""</formula>
    </cfRule>
  </conditionalFormatting>
  <conditionalFormatting sqref="E5:G5">
    <cfRule type="expression" dxfId="559" priority="28">
      <formula>$D5&lt;&gt;""</formula>
    </cfRule>
  </conditionalFormatting>
  <conditionalFormatting sqref="E6:F6">
    <cfRule type="expression" dxfId="558" priority="27">
      <formula>$D6&lt;&gt;""</formula>
    </cfRule>
  </conditionalFormatting>
  <conditionalFormatting sqref="G17:G21">
    <cfRule type="expression" dxfId="557" priority="25">
      <formula>$D18&lt;&gt;""</formula>
    </cfRule>
  </conditionalFormatting>
  <conditionalFormatting sqref="G4">
    <cfRule type="expression" dxfId="556" priority="29">
      <formula>$D14&lt;&gt;""</formula>
    </cfRule>
  </conditionalFormatting>
  <conditionalFormatting sqref="K6:K12">
    <cfRule type="expression" dxfId="555" priority="21">
      <formula>$D6&lt;&gt;""</formula>
    </cfRule>
  </conditionalFormatting>
  <conditionalFormatting sqref="I5:K5">
    <cfRule type="expression" dxfId="554" priority="23">
      <formula>$D5&lt;&gt;""</formula>
    </cfRule>
  </conditionalFormatting>
  <conditionalFormatting sqref="I6:J6">
    <cfRule type="expression" dxfId="553" priority="22">
      <formula>$D6&lt;&gt;""</formula>
    </cfRule>
  </conditionalFormatting>
  <conditionalFormatting sqref="K17:K21">
    <cfRule type="expression" dxfId="552" priority="20">
      <formula>$D18&lt;&gt;""</formula>
    </cfRule>
  </conditionalFormatting>
  <conditionalFormatting sqref="K4">
    <cfRule type="expression" dxfId="551" priority="24">
      <formula>$D14&lt;&gt;""</formula>
    </cfRule>
  </conditionalFormatting>
  <conditionalFormatting sqref="O6:O12">
    <cfRule type="expression" dxfId="550" priority="16">
      <formula>$D6&lt;&gt;""</formula>
    </cfRule>
  </conditionalFormatting>
  <conditionalFormatting sqref="M5:O5">
    <cfRule type="expression" dxfId="549" priority="18">
      <formula>$D5&lt;&gt;""</formula>
    </cfRule>
  </conditionalFormatting>
  <conditionalFormatting sqref="M6:N6">
    <cfRule type="expression" dxfId="548" priority="17">
      <formula>$D6&lt;&gt;""</formula>
    </cfRule>
  </conditionalFormatting>
  <conditionalFormatting sqref="O17:O21">
    <cfRule type="expression" dxfId="547" priority="15">
      <formula>$D18&lt;&gt;""</formula>
    </cfRule>
  </conditionalFormatting>
  <conditionalFormatting sqref="O4">
    <cfRule type="expression" dxfId="546" priority="19">
      <formula>$D14&lt;&gt;""</formula>
    </cfRule>
  </conditionalFormatting>
  <conditionalFormatting sqref="C59">
    <cfRule type="expression" dxfId="545" priority="14">
      <formula>$D58&lt;&gt;""</formula>
    </cfRule>
  </conditionalFormatting>
  <conditionalFormatting sqref="G13">
    <cfRule type="expression" dxfId="544" priority="13">
      <formula>$D12&lt;&gt;""</formula>
    </cfRule>
  </conditionalFormatting>
  <conditionalFormatting sqref="K13">
    <cfRule type="expression" dxfId="543" priority="12">
      <formula>$D12&lt;&gt;""</formula>
    </cfRule>
  </conditionalFormatting>
  <conditionalFormatting sqref="O13">
    <cfRule type="expression" dxfId="542" priority="11">
      <formula>$D12&lt;&gt;""</formula>
    </cfRule>
  </conditionalFormatting>
  <conditionalFormatting sqref="G59">
    <cfRule type="expression" dxfId="541" priority="10">
      <formula>$D58&lt;&gt;""</formula>
    </cfRule>
  </conditionalFormatting>
  <conditionalFormatting sqref="K59">
    <cfRule type="expression" dxfId="540" priority="9">
      <formula>$D58&lt;&gt;""</formula>
    </cfRule>
  </conditionalFormatting>
  <conditionalFormatting sqref="O59">
    <cfRule type="expression" dxfId="539" priority="8">
      <formula>$D58&lt;&gt;""</formula>
    </cfRule>
  </conditionalFormatting>
  <conditionalFormatting sqref="C82">
    <cfRule type="expression" dxfId="538" priority="7">
      <formula>$D81&lt;&gt;""</formula>
    </cfRule>
  </conditionalFormatting>
  <conditionalFormatting sqref="G82">
    <cfRule type="expression" dxfId="537" priority="6">
      <formula>$D81&lt;&gt;""</formula>
    </cfRule>
  </conditionalFormatting>
  <conditionalFormatting sqref="K82">
    <cfRule type="expression" dxfId="536" priority="5">
      <formula>$D81&lt;&gt;""</formula>
    </cfRule>
  </conditionalFormatting>
  <conditionalFormatting sqref="O82">
    <cfRule type="expression" dxfId="535" priority="4">
      <formula>$D81&lt;&gt;""</formula>
    </cfRule>
  </conditionalFormatting>
  <conditionalFormatting sqref="O64">
    <cfRule type="expression" dxfId="534" priority="3">
      <formula>$D64&lt;&gt;""</formula>
    </cfRule>
  </conditionalFormatting>
  <conditionalFormatting sqref="C86">
    <cfRule type="expression" dxfId="533" priority="2">
      <formula>$D86&lt;&gt;""</formula>
    </cfRule>
  </conditionalFormatting>
  <conditionalFormatting sqref="G86">
    <cfRule type="expression" dxfId="532" priority="1">
      <formula>$D86&lt;&gt;""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35F6D-3CF9-497D-BB4B-C7B1DBF67019}">
  <sheetPr codeName="Planilha12"/>
  <dimension ref="A1:O119"/>
  <sheetViews>
    <sheetView showGridLines="0" zoomScale="80" zoomScaleNormal="80" workbookViewId="0">
      <selection activeCell="G61" sqref="G61"/>
    </sheetView>
  </sheetViews>
  <sheetFormatPr defaultColWidth="9.140625" defaultRowHeight="15" x14ac:dyDescent="0.25"/>
  <cols>
    <col min="1" max="1" width="10" style="2" bestFit="1" customWidth="1"/>
    <col min="2" max="2" width="27.85546875" style="2" bestFit="1" customWidth="1"/>
    <col min="3" max="3" width="13.5703125" style="2" bestFit="1" customWidth="1"/>
    <col min="4" max="4" width="2.42578125" style="2" customWidth="1"/>
    <col min="5" max="5" width="10" style="2" bestFit="1" customWidth="1"/>
    <col min="6" max="6" width="27.85546875" style="2" bestFit="1" customWidth="1"/>
    <col min="7" max="7" width="14" style="2" bestFit="1" customWidth="1"/>
    <col min="8" max="8" width="2.7109375" style="2" customWidth="1"/>
    <col min="9" max="9" width="10" style="2" bestFit="1" customWidth="1"/>
    <col min="10" max="10" width="27.85546875" style="2" bestFit="1" customWidth="1"/>
    <col min="11" max="11" width="15" style="2" bestFit="1" customWidth="1"/>
    <col min="12" max="12" width="2.5703125" style="2" customWidth="1"/>
    <col min="13" max="13" width="10" style="2" bestFit="1" customWidth="1"/>
    <col min="14" max="14" width="24.7109375" style="2" bestFit="1" customWidth="1"/>
    <col min="15" max="15" width="15" style="2" bestFit="1" customWidth="1"/>
    <col min="16" max="16" width="9.140625" style="2" customWidth="1"/>
    <col min="17" max="16384" width="9.140625" style="2"/>
  </cols>
  <sheetData>
    <row r="1" spans="1:15" ht="3" customHeight="1" x14ac:dyDescent="0.25"/>
    <row r="2" spans="1:15" ht="20.25" customHeight="1" x14ac:dyDescent="0.3">
      <c r="A2" s="112" t="str">
        <f>UPPER(TEXT(A4,"mmmm")&amp;" "&amp;TEXT(A4,"aaaa"))</f>
        <v>MAIO 2023</v>
      </c>
      <c r="B2" s="113"/>
      <c r="C2" s="113"/>
      <c r="D2" s="61"/>
      <c r="E2" s="112" t="str">
        <f>UPPER(TEXT(E4,"mmmm")&amp;" "&amp;TEXT(E4,"aaaa"))</f>
        <v>JUNHO 2023</v>
      </c>
      <c r="F2" s="113"/>
      <c r="G2" s="113"/>
      <c r="H2" s="61"/>
      <c r="I2" s="112" t="str">
        <f>UPPER(TEXT(I4,"mmmm")&amp;" "&amp;TEXT(I4,"aaaa"))</f>
        <v>JULHO 2023</v>
      </c>
      <c r="J2" s="113"/>
      <c r="K2" s="113"/>
      <c r="L2" s="61"/>
      <c r="M2" s="112" t="str">
        <f>UPPER(TEXT(M4,"mmmm")&amp;" "&amp;TEXT(M4,"aaaa"))</f>
        <v>AGOSTO 2023</v>
      </c>
      <c r="N2" s="113"/>
      <c r="O2" s="113"/>
    </row>
    <row r="3" spans="1:15" x14ac:dyDescent="0.25">
      <c r="A3" s="47" t="s">
        <v>97</v>
      </c>
      <c r="B3" s="48" t="s">
        <v>98</v>
      </c>
      <c r="C3" s="49" t="s">
        <v>99</v>
      </c>
      <c r="D3" s="61"/>
      <c r="E3" s="47" t="s">
        <v>97</v>
      </c>
      <c r="F3" s="48" t="s">
        <v>98</v>
      </c>
      <c r="G3" s="49" t="s">
        <v>99</v>
      </c>
      <c r="H3" s="61"/>
      <c r="I3" s="47" t="s">
        <v>97</v>
      </c>
      <c r="J3" s="48" t="s">
        <v>98</v>
      </c>
      <c r="K3" s="49" t="s">
        <v>99</v>
      </c>
      <c r="L3" s="61"/>
      <c r="M3" s="47" t="s">
        <v>97</v>
      </c>
      <c r="N3" s="48" t="s">
        <v>98</v>
      </c>
      <c r="O3" s="49" t="s">
        <v>99</v>
      </c>
    </row>
    <row r="4" spans="1:15" x14ac:dyDescent="0.25">
      <c r="A4" s="66">
        <v>45047</v>
      </c>
      <c r="B4" s="67" t="s">
        <v>113</v>
      </c>
      <c r="C4" s="32">
        <v>-500</v>
      </c>
      <c r="D4" s="61"/>
      <c r="E4" s="66">
        <v>45078</v>
      </c>
      <c r="F4" s="67" t="s">
        <v>113</v>
      </c>
      <c r="G4" s="32">
        <f>C25</f>
        <v>29.059999999999491</v>
      </c>
      <c r="H4" s="61"/>
      <c r="I4" s="66">
        <v>45108</v>
      </c>
      <c r="J4" s="67" t="s">
        <v>113</v>
      </c>
      <c r="K4" s="32">
        <f>G25</f>
        <v>-1352.8900000000012</v>
      </c>
      <c r="L4" s="61"/>
      <c r="M4" s="66">
        <v>45139</v>
      </c>
      <c r="N4" s="67" t="s">
        <v>113</v>
      </c>
      <c r="O4" s="32">
        <f>K25</f>
        <v>-790.84000000000196</v>
      </c>
    </row>
    <row r="5" spans="1:15" x14ac:dyDescent="0.25">
      <c r="A5" s="66">
        <v>45075</v>
      </c>
      <c r="B5" s="67" t="s">
        <v>114</v>
      </c>
      <c r="C5" s="32">
        <v>-2762.92</v>
      </c>
      <c r="D5" s="61"/>
      <c r="E5" s="66">
        <v>45107</v>
      </c>
      <c r="F5" s="67" t="s">
        <v>42</v>
      </c>
      <c r="G5" s="32">
        <v>-2060.08</v>
      </c>
      <c r="H5" s="61"/>
      <c r="I5" s="66">
        <v>45136</v>
      </c>
      <c r="J5" s="67" t="s">
        <v>43</v>
      </c>
      <c r="K5" s="32">
        <v>-2060.08</v>
      </c>
      <c r="L5" s="61"/>
      <c r="M5" s="66">
        <v>45167</v>
      </c>
      <c r="N5" s="67" t="s">
        <v>44</v>
      </c>
      <c r="O5" s="32">
        <v>-2060.08</v>
      </c>
    </row>
    <row r="6" spans="1:15" x14ac:dyDescent="0.25">
      <c r="A6" s="66">
        <v>45076</v>
      </c>
      <c r="B6" s="67" t="s">
        <v>115</v>
      </c>
      <c r="C6" s="32">
        <v>-2060.08</v>
      </c>
      <c r="D6" s="61"/>
      <c r="E6" s="66">
        <v>45106</v>
      </c>
      <c r="F6" s="67" t="s">
        <v>88</v>
      </c>
      <c r="G6" s="32">
        <v>-2762.92</v>
      </c>
      <c r="H6" s="61"/>
      <c r="I6" s="66">
        <v>45137</v>
      </c>
      <c r="J6" s="67" t="s">
        <v>89</v>
      </c>
      <c r="K6" s="32">
        <v>-2762.92</v>
      </c>
      <c r="L6" s="61"/>
      <c r="M6" s="66">
        <v>45168</v>
      </c>
      <c r="N6" s="67" t="s">
        <v>90</v>
      </c>
      <c r="O6" s="32">
        <v>-2762.92</v>
      </c>
    </row>
    <row r="7" spans="1:15" x14ac:dyDescent="0.25">
      <c r="A7" s="66">
        <v>45046</v>
      </c>
      <c r="B7" s="67" t="s">
        <v>116</v>
      </c>
      <c r="C7" s="32">
        <v>-33.340000000000003</v>
      </c>
      <c r="D7" s="61"/>
      <c r="E7" s="66">
        <v>45078</v>
      </c>
      <c r="F7" s="67" t="s">
        <v>117</v>
      </c>
      <c r="G7" s="32">
        <v>-387.81</v>
      </c>
      <c r="H7" s="61"/>
      <c r="I7" s="66">
        <v>45108</v>
      </c>
      <c r="J7" s="67" t="s">
        <v>118</v>
      </c>
      <c r="K7" s="32">
        <v>-387.81</v>
      </c>
      <c r="L7" s="61"/>
      <c r="M7" s="66">
        <v>45139</v>
      </c>
      <c r="N7" s="67" t="s">
        <v>119</v>
      </c>
      <c r="O7" s="32">
        <v>-356.08</v>
      </c>
    </row>
    <row r="8" spans="1:15" x14ac:dyDescent="0.25">
      <c r="A8" s="66">
        <v>45046</v>
      </c>
      <c r="B8" s="67" t="s">
        <v>120</v>
      </c>
      <c r="C8" s="32">
        <f>-170</f>
        <v>-170</v>
      </c>
      <c r="D8" s="61"/>
      <c r="E8" s="66">
        <v>45079</v>
      </c>
      <c r="F8" s="67" t="s">
        <v>117</v>
      </c>
      <c r="G8" s="32">
        <v>-581.72</v>
      </c>
      <c r="H8" s="61"/>
      <c r="I8" s="66">
        <v>45109</v>
      </c>
      <c r="J8" s="67" t="s">
        <v>118</v>
      </c>
      <c r="K8" s="32">
        <v>-581.72</v>
      </c>
      <c r="L8" s="61"/>
      <c r="M8" s="66"/>
      <c r="N8" s="67"/>
      <c r="O8" s="32"/>
    </row>
    <row r="9" spans="1:15" x14ac:dyDescent="0.25">
      <c r="A9" s="66">
        <v>45046</v>
      </c>
      <c r="B9" s="67" t="s">
        <v>121</v>
      </c>
      <c r="C9" s="32">
        <f>-99</f>
        <v>-99</v>
      </c>
      <c r="D9" s="61"/>
      <c r="E9" s="66">
        <v>45078</v>
      </c>
      <c r="F9" s="67" t="s">
        <v>122</v>
      </c>
      <c r="G9" s="32">
        <v>-356.08</v>
      </c>
      <c r="H9" s="61"/>
      <c r="I9" s="66">
        <v>45108</v>
      </c>
      <c r="J9" s="67" t="s">
        <v>123</v>
      </c>
      <c r="K9" s="32">
        <v>-356.08</v>
      </c>
      <c r="L9" s="61"/>
      <c r="M9" s="66"/>
      <c r="N9" s="67"/>
      <c r="O9" s="32"/>
    </row>
    <row r="10" spans="1:15" x14ac:dyDescent="0.25">
      <c r="A10" s="66">
        <v>45047</v>
      </c>
      <c r="B10" s="67" t="s">
        <v>124</v>
      </c>
      <c r="C10" s="32">
        <v>-387.81</v>
      </c>
      <c r="D10" s="61"/>
      <c r="E10" s="66">
        <v>45076</v>
      </c>
      <c r="F10" s="67" t="s">
        <v>125</v>
      </c>
      <c r="G10" s="32">
        <v>-33.340000000000003</v>
      </c>
      <c r="H10" s="61"/>
      <c r="I10" s="66">
        <v>45107</v>
      </c>
      <c r="J10" s="67" t="s">
        <v>126</v>
      </c>
      <c r="K10" s="32">
        <v>-33.340000000000003</v>
      </c>
      <c r="L10" s="61"/>
      <c r="M10" s="66"/>
      <c r="N10" s="67"/>
      <c r="O10" s="32"/>
    </row>
    <row r="11" spans="1:15" x14ac:dyDescent="0.25">
      <c r="A11" s="66">
        <v>45047</v>
      </c>
      <c r="B11" s="67" t="s">
        <v>127</v>
      </c>
      <c r="C11" s="32">
        <v>-356.08</v>
      </c>
      <c r="D11" s="45"/>
      <c r="E11" s="66"/>
      <c r="F11" s="67"/>
      <c r="G11" s="32"/>
      <c r="H11" s="45"/>
      <c r="I11" s="66"/>
      <c r="J11" s="67"/>
      <c r="K11" s="32"/>
      <c r="L11" s="45"/>
      <c r="M11" s="66"/>
      <c r="N11" s="67"/>
      <c r="O11" s="32"/>
    </row>
    <row r="12" spans="1:15" x14ac:dyDescent="0.25">
      <c r="A12" s="66">
        <v>45047</v>
      </c>
      <c r="B12" s="67" t="s">
        <v>128</v>
      </c>
      <c r="C12" s="32">
        <v>-19.989999999999998</v>
      </c>
      <c r="D12" s="61"/>
      <c r="E12" s="66"/>
      <c r="F12" s="67"/>
      <c r="G12" s="32"/>
      <c r="H12" s="61"/>
      <c r="I12" s="66"/>
      <c r="J12" s="67"/>
      <c r="K12" s="32"/>
      <c r="L12" s="61"/>
      <c r="M12" s="66"/>
      <c r="N12" s="67"/>
      <c r="O12" s="32"/>
    </row>
    <row r="13" spans="1:15" x14ac:dyDescent="0.25">
      <c r="A13" s="66">
        <v>45048</v>
      </c>
      <c r="B13" s="67" t="s">
        <v>124</v>
      </c>
      <c r="C13" s="32">
        <v>-581.72</v>
      </c>
      <c r="D13" s="61"/>
      <c r="E13" s="66" t="str">
        <f>IF(C27&lt;0,E4,"")</f>
        <v/>
      </c>
      <c r="F13" s="67" t="str">
        <f>IF(C27&lt;0,"Juros 8% Mês "&amp;A2,"")</f>
        <v/>
      </c>
      <c r="G13" s="32">
        <f>C27</f>
        <v>0</v>
      </c>
      <c r="H13" s="61"/>
      <c r="I13" s="66" t="str">
        <f>IF(G27&lt;0,I4,"")</f>
        <v/>
      </c>
      <c r="J13" s="67" t="str">
        <f>IF(G27&lt;0,"Juros 8% Mês "&amp;E2,"")</f>
        <v/>
      </c>
      <c r="K13" s="32">
        <f>G27</f>
        <v>0</v>
      </c>
      <c r="L13" s="61"/>
      <c r="M13" s="66" t="str">
        <f>IF(K27&lt;0,M4,"")</f>
        <v/>
      </c>
      <c r="N13" s="67" t="str">
        <f>IF(K27&lt;0,"Juros 8% Mês "&amp;I2,"")</f>
        <v/>
      </c>
      <c r="O13" s="32">
        <f>K27</f>
        <v>0</v>
      </c>
    </row>
    <row r="14" spans="1:15" ht="3" customHeight="1" x14ac:dyDescent="0.25">
      <c r="A14" s="47"/>
      <c r="B14" s="61"/>
      <c r="C14" s="42"/>
      <c r="D14" s="61"/>
      <c r="E14" s="47"/>
      <c r="F14" s="61"/>
      <c r="G14" s="42"/>
      <c r="H14" s="61"/>
      <c r="I14" s="47"/>
      <c r="J14" s="61"/>
      <c r="K14" s="42"/>
      <c r="L14" s="61"/>
      <c r="M14" s="47"/>
      <c r="N14" s="61"/>
      <c r="O14" s="42"/>
    </row>
    <row r="15" spans="1:15" ht="15.75" customHeight="1" x14ac:dyDescent="0.25">
      <c r="A15" s="68" t="s">
        <v>109</v>
      </c>
      <c r="B15" s="69">
        <f>A4</f>
        <v>45047</v>
      </c>
      <c r="C15" s="52">
        <f>SUM(C4:C13)</f>
        <v>-6970.9400000000005</v>
      </c>
      <c r="D15" s="45"/>
      <c r="E15" s="68" t="s">
        <v>109</v>
      </c>
      <c r="F15" s="69">
        <f>E4</f>
        <v>45078</v>
      </c>
      <c r="G15" s="52">
        <f>SUM(G4:G13)</f>
        <v>-6152.8900000000012</v>
      </c>
      <c r="H15" s="45"/>
      <c r="I15" s="68" t="s">
        <v>109</v>
      </c>
      <c r="J15" s="69">
        <f>I4</f>
        <v>45108</v>
      </c>
      <c r="K15" s="52">
        <f>SUM(K4:K13)</f>
        <v>-7534.840000000002</v>
      </c>
      <c r="L15" s="45"/>
      <c r="M15" s="68" t="s">
        <v>109</v>
      </c>
      <c r="N15" s="69">
        <f>M4</f>
        <v>45139</v>
      </c>
      <c r="O15" s="52">
        <f>SUM(O4:O13)</f>
        <v>-5969.9200000000019</v>
      </c>
    </row>
    <row r="16" spans="1:15" ht="3" customHeight="1" x14ac:dyDescent="0.25">
      <c r="A16" s="48"/>
      <c r="B16" s="61"/>
      <c r="C16" s="43"/>
      <c r="D16" s="61"/>
      <c r="E16" s="48"/>
      <c r="F16" s="61"/>
      <c r="G16" s="43"/>
      <c r="H16" s="61"/>
      <c r="I16" s="48"/>
      <c r="J16" s="61"/>
      <c r="K16" s="43"/>
      <c r="L16" s="61"/>
      <c r="M16" s="48"/>
      <c r="N16" s="61"/>
      <c r="O16" s="43"/>
    </row>
    <row r="17" spans="1:15" x14ac:dyDescent="0.25">
      <c r="A17" s="72">
        <v>45084</v>
      </c>
      <c r="B17" s="73" t="s">
        <v>31</v>
      </c>
      <c r="C17" s="55">
        <v>2000</v>
      </c>
      <c r="D17" s="61"/>
      <c r="E17" s="72">
        <v>45113</v>
      </c>
      <c r="F17" s="73" t="s">
        <v>31</v>
      </c>
      <c r="G17" s="55">
        <v>2000</v>
      </c>
      <c r="H17" s="61"/>
      <c r="I17" s="72">
        <v>45140</v>
      </c>
      <c r="J17" s="73" t="s">
        <v>31</v>
      </c>
      <c r="K17" s="55">
        <v>1300</v>
      </c>
      <c r="L17" s="61"/>
      <c r="M17" s="72">
        <v>45170</v>
      </c>
      <c r="N17" s="73" t="s">
        <v>129</v>
      </c>
      <c r="O17" s="55">
        <v>5000</v>
      </c>
    </row>
    <row r="18" spans="1:15" x14ac:dyDescent="0.25">
      <c r="A18" s="72">
        <v>45084</v>
      </c>
      <c r="B18" s="73" t="s">
        <v>32</v>
      </c>
      <c r="C18" s="55">
        <v>2000</v>
      </c>
      <c r="D18" s="61"/>
      <c r="E18" s="72">
        <v>45114</v>
      </c>
      <c r="F18" s="73" t="s">
        <v>31</v>
      </c>
      <c r="G18" s="55">
        <v>1800</v>
      </c>
      <c r="H18" s="61"/>
      <c r="I18" s="72">
        <v>45140</v>
      </c>
      <c r="J18" s="73" t="s">
        <v>130</v>
      </c>
      <c r="K18" s="55">
        <v>2000</v>
      </c>
      <c r="L18" s="61"/>
      <c r="M18" s="72">
        <v>45177</v>
      </c>
      <c r="N18" s="73" t="s">
        <v>31</v>
      </c>
      <c r="O18" s="55">
        <v>800</v>
      </c>
    </row>
    <row r="19" spans="1:15" x14ac:dyDescent="0.25">
      <c r="A19" s="72">
        <v>45086</v>
      </c>
      <c r="B19" s="73" t="s">
        <v>31</v>
      </c>
      <c r="C19" s="55">
        <v>1000</v>
      </c>
      <c r="D19" s="61"/>
      <c r="E19" s="72">
        <v>45117</v>
      </c>
      <c r="F19" s="73" t="s">
        <v>31</v>
      </c>
      <c r="G19" s="55">
        <v>1000</v>
      </c>
      <c r="H19" s="61"/>
      <c r="I19" s="72">
        <v>45141</v>
      </c>
      <c r="J19" s="73" t="s">
        <v>31</v>
      </c>
      <c r="K19" s="55">
        <v>1944</v>
      </c>
      <c r="L19" s="61"/>
      <c r="M19" s="72"/>
      <c r="N19" s="73"/>
      <c r="O19" s="55"/>
    </row>
    <row r="20" spans="1:15" x14ac:dyDescent="0.25">
      <c r="A20" s="72"/>
      <c r="B20" s="73"/>
      <c r="C20" s="55"/>
      <c r="D20" s="61"/>
      <c r="E20" s="72"/>
      <c r="F20" s="73"/>
      <c r="G20" s="55"/>
      <c r="H20" s="61"/>
      <c r="I20" s="72">
        <v>45142</v>
      </c>
      <c r="J20" s="73" t="s">
        <v>31</v>
      </c>
      <c r="K20" s="55">
        <v>1000</v>
      </c>
      <c r="L20" s="61"/>
      <c r="M20" s="72"/>
      <c r="N20" s="73"/>
      <c r="O20" s="55"/>
    </row>
    <row r="21" spans="1:15" x14ac:dyDescent="0.25">
      <c r="A21" s="72">
        <v>45107</v>
      </c>
      <c r="B21" s="73" t="s">
        <v>130</v>
      </c>
      <c r="C21" s="55">
        <v>2000</v>
      </c>
      <c r="D21" s="61"/>
      <c r="E21" s="72"/>
      <c r="F21" s="73"/>
      <c r="G21" s="55"/>
      <c r="H21" s="61"/>
      <c r="I21" s="72">
        <v>45149</v>
      </c>
      <c r="J21" s="73" t="s">
        <v>31</v>
      </c>
      <c r="K21" s="55">
        <v>500</v>
      </c>
      <c r="L21" s="61"/>
      <c r="M21" s="72"/>
      <c r="N21" s="73"/>
      <c r="O21" s="55"/>
    </row>
    <row r="22" spans="1:15" ht="3" customHeight="1" x14ac:dyDescent="0.25">
      <c r="A22" s="47"/>
      <c r="B22" s="61"/>
      <c r="C22" s="42"/>
      <c r="D22" s="61"/>
      <c r="E22" s="47"/>
      <c r="F22" s="61"/>
      <c r="G22" s="42"/>
      <c r="H22" s="61"/>
      <c r="I22" s="47"/>
      <c r="J22" s="61"/>
      <c r="K22" s="42"/>
      <c r="L22" s="61"/>
      <c r="M22" s="47"/>
      <c r="N22" s="61"/>
      <c r="O22" s="42"/>
    </row>
    <row r="23" spans="1:15" ht="15.75" customHeight="1" x14ac:dyDescent="0.25">
      <c r="A23" s="74" t="s">
        <v>131</v>
      </c>
      <c r="B23" s="73" t="s">
        <v>110</v>
      </c>
      <c r="C23" s="57">
        <f>SUM(C17:C21)</f>
        <v>7000</v>
      </c>
      <c r="D23" s="61"/>
      <c r="E23" s="74" t="s">
        <v>131</v>
      </c>
      <c r="F23" s="73" t="s">
        <v>110</v>
      </c>
      <c r="G23" s="57">
        <f>SUM(G17:G21)</f>
        <v>4800</v>
      </c>
      <c r="H23" s="61"/>
      <c r="I23" s="74" t="s">
        <v>131</v>
      </c>
      <c r="J23" s="73" t="s">
        <v>110</v>
      </c>
      <c r="K23" s="57">
        <f>SUM(K17:K21)</f>
        <v>6744</v>
      </c>
      <c r="L23" s="61"/>
      <c r="M23" s="74" t="s">
        <v>3</v>
      </c>
      <c r="N23" s="73" t="s">
        <v>110</v>
      </c>
      <c r="O23" s="57">
        <f>SUM(O17:O21)</f>
        <v>5800</v>
      </c>
    </row>
    <row r="24" spans="1:15" ht="3" customHeight="1" x14ac:dyDescent="0.25">
      <c r="A24" s="47"/>
      <c r="B24" s="61"/>
      <c r="C24" s="60"/>
      <c r="D24" s="61"/>
      <c r="E24" s="47"/>
      <c r="F24" s="61"/>
      <c r="G24" s="60"/>
      <c r="H24" s="61"/>
      <c r="I24" s="47"/>
      <c r="J24" s="61"/>
      <c r="K24" s="60"/>
      <c r="L24" s="61"/>
      <c r="M24" s="47"/>
      <c r="N24" s="61"/>
      <c r="O24" s="60"/>
    </row>
    <row r="25" spans="1:15" ht="15.75" customHeight="1" x14ac:dyDescent="0.25">
      <c r="A25" s="75" t="s">
        <v>111</v>
      </c>
      <c r="B25" s="76">
        <f>B15</f>
        <v>45047</v>
      </c>
      <c r="C25" s="25">
        <f>C15+C23</f>
        <v>29.059999999999491</v>
      </c>
      <c r="D25" s="61"/>
      <c r="E25" s="75" t="s">
        <v>111</v>
      </c>
      <c r="F25" s="76">
        <f>F15</f>
        <v>45078</v>
      </c>
      <c r="G25" s="25">
        <f>G15+G23</f>
        <v>-1352.8900000000012</v>
      </c>
      <c r="H25" s="61"/>
      <c r="I25" s="75" t="s">
        <v>111</v>
      </c>
      <c r="J25" s="76">
        <f>J15</f>
        <v>45108</v>
      </c>
      <c r="K25" s="25">
        <f>K15+K23</f>
        <v>-790.84000000000196</v>
      </c>
      <c r="L25" s="61"/>
      <c r="M25" s="75" t="s">
        <v>111</v>
      </c>
      <c r="N25" s="76">
        <f>N15</f>
        <v>45139</v>
      </c>
      <c r="O25" s="25">
        <f>O15+O23</f>
        <v>-169.92000000000189</v>
      </c>
    </row>
    <row r="26" spans="1:15" ht="3" customHeight="1" x14ac:dyDescent="0.25">
      <c r="A26" s="47"/>
      <c r="B26" s="61"/>
      <c r="C26" s="60"/>
      <c r="D26" s="61"/>
      <c r="E26" s="47"/>
      <c r="F26" s="61"/>
      <c r="G26" s="60"/>
      <c r="H26" s="61"/>
      <c r="I26" s="47"/>
      <c r="J26" s="61"/>
      <c r="K26" s="60"/>
      <c r="L26" s="61"/>
      <c r="M26" s="47"/>
      <c r="N26" s="61"/>
      <c r="O26" s="60"/>
    </row>
    <row r="27" spans="1:15" x14ac:dyDescent="0.25">
      <c r="A27" s="77"/>
      <c r="B27" s="63"/>
      <c r="C27" s="64"/>
      <c r="D27" s="61"/>
      <c r="E27" s="77"/>
      <c r="F27" s="63"/>
      <c r="G27" s="64"/>
      <c r="H27" s="61"/>
      <c r="I27" s="77"/>
      <c r="J27" s="63"/>
      <c r="K27" s="64"/>
      <c r="L27" s="61"/>
      <c r="M27" s="77"/>
      <c r="N27" s="63"/>
      <c r="O27" s="64"/>
    </row>
    <row r="28" spans="1:15" ht="3" customHeight="1" x14ac:dyDescent="0.25"/>
    <row r="29" spans="1:15" ht="20.25" customHeight="1" x14ac:dyDescent="0.3">
      <c r="A29" s="112" t="str">
        <f>UPPER(TEXT(A31,"mmmm")&amp;" "&amp;TEXT(A31,"aaaa"))</f>
        <v>SETEMBRO 2023</v>
      </c>
      <c r="B29" s="113"/>
      <c r="C29" s="113"/>
      <c r="D29" s="61"/>
      <c r="E29" s="112" t="str">
        <f>UPPER(TEXT(E31,"mmmm")&amp;" "&amp;TEXT(E31,"aaaa"))</f>
        <v>OUTUBRO 2023</v>
      </c>
      <c r="F29" s="113"/>
      <c r="G29" s="113"/>
      <c r="H29" s="61"/>
      <c r="I29" s="112" t="str">
        <f>UPPER(TEXT(I31,"mmmm")&amp;" "&amp;TEXT(I31,"aaaa"))</f>
        <v>NOVEMBRO 2023</v>
      </c>
      <c r="J29" s="113"/>
      <c r="K29" s="113"/>
      <c r="L29" s="61"/>
      <c r="M29" s="112" t="str">
        <f>UPPER(TEXT(M31,"mmmm")&amp;" "&amp;TEXT(M31,"aaaa"))</f>
        <v>DEZEMBRO 2023</v>
      </c>
      <c r="N29" s="113"/>
      <c r="O29" s="113"/>
    </row>
    <row r="30" spans="1:15" x14ac:dyDescent="0.25">
      <c r="A30" s="47" t="s">
        <v>97</v>
      </c>
      <c r="B30" s="48" t="s">
        <v>98</v>
      </c>
      <c r="C30" s="49" t="s">
        <v>99</v>
      </c>
      <c r="D30" s="61"/>
      <c r="E30" s="47" t="s">
        <v>97</v>
      </c>
      <c r="F30" s="48" t="s">
        <v>98</v>
      </c>
      <c r="G30" s="49" t="s">
        <v>99</v>
      </c>
      <c r="H30" s="61"/>
      <c r="I30" s="47" t="s">
        <v>97</v>
      </c>
      <c r="J30" s="48" t="s">
        <v>98</v>
      </c>
      <c r="K30" s="49" t="s">
        <v>99</v>
      </c>
      <c r="L30" s="61"/>
      <c r="M30" s="47" t="s">
        <v>97</v>
      </c>
      <c r="N30" s="48" t="s">
        <v>98</v>
      </c>
      <c r="O30" s="49" t="s">
        <v>99</v>
      </c>
    </row>
    <row r="31" spans="1:15" x14ac:dyDescent="0.25">
      <c r="A31" s="66">
        <v>45170</v>
      </c>
      <c r="B31" s="67" t="str">
        <f>"SALDO "&amp;UPPER(TEXT(A31-1,"mmmm"))</f>
        <v>SALDO AGOSTO</v>
      </c>
      <c r="C31" s="32">
        <f>O25</f>
        <v>-169.92000000000189</v>
      </c>
      <c r="D31" s="61"/>
      <c r="E31" s="66">
        <v>45200</v>
      </c>
      <c r="F31" s="67" t="str">
        <f>"SALDO "&amp;UPPER(TEXT(E31-1,"mmmm"))</f>
        <v>SALDO SETEMBRO</v>
      </c>
      <c r="G31" s="32">
        <f>C48</f>
        <v>-394.00000000000182</v>
      </c>
      <c r="H31" s="61"/>
      <c r="I31" s="66">
        <v>45231</v>
      </c>
      <c r="J31" s="67" t="str">
        <f>"SALDO "&amp;UPPER(TEXT(I31-1,"mmmm"))</f>
        <v>SALDO OUTUBRO</v>
      </c>
      <c r="K31" s="32">
        <f>G48</f>
        <v>-717.00000000000182</v>
      </c>
      <c r="L31" s="61"/>
      <c r="M31" s="66">
        <v>45261</v>
      </c>
      <c r="N31" s="67" t="str">
        <f>"SALDO "&amp;UPPER(TEXT(M31-1,"mmmm"))</f>
        <v>SALDO NOVEMBRO</v>
      </c>
      <c r="O31" s="58">
        <f>K48</f>
        <v>-1590.0000000000018</v>
      </c>
    </row>
    <row r="32" spans="1:15" x14ac:dyDescent="0.25">
      <c r="A32" s="66">
        <v>45198</v>
      </c>
      <c r="B32" s="67" t="s">
        <v>45</v>
      </c>
      <c r="C32" s="58">
        <v>-2060.08</v>
      </c>
      <c r="D32" s="61"/>
      <c r="E32" s="66">
        <v>45228</v>
      </c>
      <c r="F32" s="67" t="s">
        <v>46</v>
      </c>
      <c r="G32" s="58">
        <v>-2060.08</v>
      </c>
      <c r="H32" s="61"/>
      <c r="I32" s="66">
        <v>45259</v>
      </c>
      <c r="J32" s="67" t="s">
        <v>47</v>
      </c>
      <c r="K32" s="58">
        <v>-2060.08</v>
      </c>
      <c r="L32" s="61"/>
      <c r="M32" s="66">
        <v>45289</v>
      </c>
      <c r="N32" s="67" t="s">
        <v>48</v>
      </c>
      <c r="O32" s="58">
        <v>-2060.08</v>
      </c>
    </row>
    <row r="33" spans="1:15" x14ac:dyDescent="0.25">
      <c r="A33" s="66">
        <v>45199</v>
      </c>
      <c r="B33" s="67" t="s">
        <v>91</v>
      </c>
      <c r="C33" s="58">
        <v>-2762.92</v>
      </c>
      <c r="D33" s="61"/>
      <c r="E33" s="66">
        <v>45229</v>
      </c>
      <c r="F33" s="67" t="s">
        <v>92</v>
      </c>
      <c r="G33" s="58">
        <v>-2762.92</v>
      </c>
      <c r="H33" s="61"/>
      <c r="I33" s="66">
        <v>45260</v>
      </c>
      <c r="J33" s="67" t="s">
        <v>93</v>
      </c>
      <c r="K33" s="58">
        <v>-2762.92</v>
      </c>
      <c r="L33" s="61"/>
      <c r="M33" s="66">
        <v>45290</v>
      </c>
      <c r="N33" s="67" t="s">
        <v>94</v>
      </c>
      <c r="O33" s="58">
        <v>-2762.92</v>
      </c>
    </row>
    <row r="34" spans="1:15" x14ac:dyDescent="0.25">
      <c r="A34" s="66">
        <v>45199</v>
      </c>
      <c r="B34" s="67" t="s">
        <v>132</v>
      </c>
      <c r="C34" s="58">
        <v>-356.08</v>
      </c>
      <c r="D34" s="61"/>
      <c r="E34" s="66"/>
      <c r="F34" s="67"/>
      <c r="G34" s="58"/>
      <c r="H34" s="61"/>
      <c r="I34" s="66"/>
      <c r="J34" s="67"/>
      <c r="K34" s="58"/>
      <c r="L34" s="61"/>
      <c r="M34" s="66"/>
      <c r="N34" s="67"/>
      <c r="O34" s="58"/>
    </row>
    <row r="35" spans="1:15" x14ac:dyDescent="0.25">
      <c r="A35" s="66"/>
      <c r="B35" s="67"/>
      <c r="C35" s="58"/>
      <c r="D35" s="61"/>
      <c r="E35" s="66"/>
      <c r="F35" s="67"/>
      <c r="G35" s="58"/>
      <c r="H35" s="61"/>
      <c r="I35" s="66"/>
      <c r="J35" s="67"/>
      <c r="K35" s="58"/>
      <c r="L35" s="61"/>
      <c r="M35" s="66"/>
      <c r="N35" s="67"/>
      <c r="O35" s="106">
        <v>655.20000000000005</v>
      </c>
    </row>
    <row r="36" spans="1:15" x14ac:dyDescent="0.25">
      <c r="A36" s="66" t="str">
        <f>IF(O27&lt;0,A31,"")</f>
        <v/>
      </c>
      <c r="B36" s="67" t="str">
        <f>IF(O27&lt;0,"Juros 8% Mês "&amp;M2,"")</f>
        <v/>
      </c>
      <c r="C36" s="32">
        <f>'05-08 de 23'!O74</f>
        <v>0</v>
      </c>
      <c r="D36" s="61"/>
      <c r="E36" s="66" t="str">
        <f>IF(C50&lt;0,E31,"")</f>
        <v/>
      </c>
      <c r="F36" s="67" t="str">
        <f>IF(C50&lt;0,"Juros 8% Mês "&amp;A29,"")</f>
        <v/>
      </c>
      <c r="G36" s="32">
        <f>C50</f>
        <v>0</v>
      </c>
      <c r="H36" s="61"/>
      <c r="I36" s="66" t="str">
        <f>IF(G50&lt;0,I31,"")</f>
        <v/>
      </c>
      <c r="J36" s="67" t="str">
        <f>IF(G50&lt;0,"Juros 8% Mês "&amp;E29,"")</f>
        <v/>
      </c>
      <c r="K36" s="32">
        <f>G50</f>
        <v>0</v>
      </c>
      <c r="L36" s="61"/>
      <c r="M36" s="66" t="str">
        <f>IF(K50&lt;0,M31,"")</f>
        <v/>
      </c>
      <c r="N36" s="67" t="str">
        <f>IF(K50&lt;0,"Juros 8% Mês "&amp;I29,"")</f>
        <v/>
      </c>
      <c r="O36" s="32">
        <f>K50</f>
        <v>0</v>
      </c>
    </row>
    <row r="37" spans="1:15" ht="3" customHeight="1" x14ac:dyDescent="0.25">
      <c r="A37" s="47"/>
      <c r="B37" s="61"/>
      <c r="C37" s="42"/>
      <c r="D37" s="61"/>
      <c r="E37" s="47"/>
      <c r="F37" s="61"/>
      <c r="G37" s="42"/>
      <c r="H37" s="61"/>
      <c r="I37" s="47"/>
      <c r="J37" s="61"/>
      <c r="K37" s="42"/>
      <c r="L37" s="61"/>
      <c r="M37" s="47"/>
      <c r="N37" s="61"/>
      <c r="O37" s="42"/>
    </row>
    <row r="38" spans="1:15" ht="15.75" customHeight="1" x14ac:dyDescent="0.25">
      <c r="A38" s="68" t="s">
        <v>109</v>
      </c>
      <c r="B38" s="69">
        <f>A31</f>
        <v>45170</v>
      </c>
      <c r="C38" s="52">
        <f>SUM(C31:C36)</f>
        <v>-5349.0000000000018</v>
      </c>
      <c r="D38" s="45"/>
      <c r="E38" s="68" t="s">
        <v>109</v>
      </c>
      <c r="F38" s="69">
        <f>E31</f>
        <v>45200</v>
      </c>
      <c r="G38" s="52">
        <f>SUM(G31:G36)</f>
        <v>-5217.0000000000018</v>
      </c>
      <c r="H38" s="45"/>
      <c r="I38" s="68" t="s">
        <v>109</v>
      </c>
      <c r="J38" s="69">
        <f>I31</f>
        <v>45231</v>
      </c>
      <c r="K38" s="52">
        <f>SUM(K31:K36)</f>
        <v>-5540.0000000000018</v>
      </c>
      <c r="L38" s="45"/>
      <c r="M38" s="68" t="s">
        <v>109</v>
      </c>
      <c r="N38" s="69">
        <f>M31</f>
        <v>45261</v>
      </c>
      <c r="O38" s="52">
        <f>SUM(O31:O36)</f>
        <v>-5757.800000000002</v>
      </c>
    </row>
    <row r="39" spans="1:15" ht="3" customHeight="1" x14ac:dyDescent="0.25">
      <c r="A39" s="48"/>
      <c r="B39" s="61"/>
      <c r="C39" s="43"/>
      <c r="D39" s="61"/>
      <c r="E39" s="48"/>
      <c r="F39" s="61"/>
      <c r="G39" s="43"/>
      <c r="H39" s="61"/>
      <c r="I39" s="48"/>
      <c r="J39" s="61"/>
      <c r="K39" s="43"/>
      <c r="L39" s="61"/>
      <c r="M39" s="48"/>
      <c r="N39" s="61"/>
      <c r="O39" s="43"/>
    </row>
    <row r="40" spans="1:15" x14ac:dyDescent="0.25">
      <c r="A40" s="72">
        <v>45203</v>
      </c>
      <c r="B40" s="73" t="s">
        <v>129</v>
      </c>
      <c r="C40" s="55">
        <v>1000</v>
      </c>
      <c r="D40" s="61"/>
      <c r="E40" s="72">
        <v>45237</v>
      </c>
      <c r="F40" s="73" t="s">
        <v>138</v>
      </c>
      <c r="G40" s="55">
        <v>1000</v>
      </c>
      <c r="H40" s="61"/>
      <c r="I40" s="72">
        <v>45269</v>
      </c>
      <c r="J40" s="73" t="s">
        <v>31</v>
      </c>
      <c r="K40" s="55">
        <v>1950</v>
      </c>
      <c r="L40" s="61"/>
      <c r="M40" s="72">
        <v>45293</v>
      </c>
      <c r="N40" s="73" t="s">
        <v>31</v>
      </c>
      <c r="O40" s="55">
        <v>500</v>
      </c>
    </row>
    <row r="41" spans="1:15" x14ac:dyDescent="0.25">
      <c r="A41" s="72">
        <v>45205</v>
      </c>
      <c r="B41" s="73" t="s">
        <v>31</v>
      </c>
      <c r="C41" s="55">
        <v>1955</v>
      </c>
      <c r="D41" s="61"/>
      <c r="E41" s="72">
        <v>45238</v>
      </c>
      <c r="F41" s="73" t="s">
        <v>138</v>
      </c>
      <c r="G41" s="55">
        <v>2000</v>
      </c>
      <c r="H41" s="61"/>
      <c r="I41" s="72">
        <v>45272</v>
      </c>
      <c r="J41" s="73" t="s">
        <v>31</v>
      </c>
      <c r="K41" s="55">
        <v>500</v>
      </c>
      <c r="L41" s="61"/>
      <c r="M41" s="72">
        <v>45303</v>
      </c>
      <c r="N41" s="73" t="s">
        <v>31</v>
      </c>
      <c r="O41" s="55">
        <v>2000</v>
      </c>
    </row>
    <row r="42" spans="1:15" x14ac:dyDescent="0.25">
      <c r="A42" s="72">
        <v>45206</v>
      </c>
      <c r="B42" s="73" t="s">
        <v>31</v>
      </c>
      <c r="C42" s="55">
        <v>2000</v>
      </c>
      <c r="D42" s="61"/>
      <c r="E42" s="72">
        <v>45239</v>
      </c>
      <c r="F42" s="73" t="s">
        <v>138</v>
      </c>
      <c r="G42" s="55">
        <v>1500</v>
      </c>
      <c r="H42" s="61"/>
      <c r="I42" s="72">
        <v>45288</v>
      </c>
      <c r="J42" s="73" t="s">
        <v>31</v>
      </c>
      <c r="K42" s="55">
        <v>1500</v>
      </c>
      <c r="L42" s="61"/>
      <c r="M42" s="72">
        <v>45310</v>
      </c>
      <c r="N42" s="73" t="s">
        <v>31</v>
      </c>
      <c r="O42" s="55">
        <v>2000</v>
      </c>
    </row>
    <row r="43" spans="1:15" x14ac:dyDescent="0.25">
      <c r="A43" s="72"/>
      <c r="B43" s="73"/>
      <c r="C43" s="55"/>
      <c r="D43" s="61"/>
      <c r="E43" s="72"/>
      <c r="F43" s="73"/>
      <c r="G43" s="55"/>
      <c r="H43" s="61"/>
      <c r="I43" s="72"/>
      <c r="J43" s="73"/>
      <c r="K43" s="55"/>
      <c r="L43" s="61"/>
      <c r="M43" s="72">
        <v>45311</v>
      </c>
      <c r="N43" s="73" t="s">
        <v>31</v>
      </c>
      <c r="O43" s="55">
        <v>500</v>
      </c>
    </row>
    <row r="44" spans="1:15" x14ac:dyDescent="0.25">
      <c r="A44" s="72"/>
      <c r="B44" s="73"/>
      <c r="C44" s="55"/>
      <c r="D44" s="61"/>
      <c r="E44" s="72"/>
      <c r="F44" s="73"/>
      <c r="G44" s="55"/>
      <c r="H44" s="61"/>
      <c r="I44" s="72"/>
      <c r="J44" s="73"/>
      <c r="K44" s="55"/>
      <c r="L44" s="61"/>
      <c r="M44" s="72"/>
      <c r="N44" s="73"/>
      <c r="O44" s="55"/>
    </row>
    <row r="45" spans="1:15" ht="3" customHeight="1" x14ac:dyDescent="0.25">
      <c r="A45" s="47"/>
      <c r="B45" s="61"/>
      <c r="C45" s="42"/>
      <c r="D45" s="61"/>
      <c r="E45" s="47"/>
      <c r="F45" s="61"/>
      <c r="G45" s="42"/>
      <c r="H45" s="61"/>
      <c r="I45" s="47"/>
      <c r="J45" s="61"/>
      <c r="K45" s="42"/>
      <c r="L45" s="61"/>
      <c r="M45" s="47"/>
      <c r="N45" s="61"/>
      <c r="O45" s="42"/>
    </row>
    <row r="46" spans="1:15" ht="15.75" customHeight="1" x14ac:dyDescent="0.25">
      <c r="A46" s="74"/>
      <c r="B46" s="73" t="s">
        <v>104</v>
      </c>
      <c r="C46" s="57">
        <f>SUM(C40:C44)</f>
        <v>4955</v>
      </c>
      <c r="D46" s="61"/>
      <c r="E46" s="74"/>
      <c r="F46" s="73" t="s">
        <v>104</v>
      </c>
      <c r="G46" s="57">
        <f>SUM(G40:G44)</f>
        <v>4500</v>
      </c>
      <c r="H46" s="61"/>
      <c r="I46" s="74"/>
      <c r="J46" s="73" t="s">
        <v>104</v>
      </c>
      <c r="K46" s="57">
        <f>SUM(K40:K44)</f>
        <v>3950</v>
      </c>
      <c r="L46" s="61"/>
      <c r="M46" s="74"/>
      <c r="N46" s="73" t="s">
        <v>104</v>
      </c>
      <c r="O46" s="57">
        <f>SUM(O40:O44)</f>
        <v>5000</v>
      </c>
    </row>
    <row r="47" spans="1:15" ht="3" customHeight="1" x14ac:dyDescent="0.25">
      <c r="A47" s="47"/>
      <c r="B47" s="61"/>
      <c r="C47" s="60"/>
      <c r="D47" s="61"/>
      <c r="E47" s="47"/>
      <c r="F47" s="61"/>
      <c r="G47" s="60"/>
      <c r="H47" s="61"/>
      <c r="I47" s="47"/>
      <c r="J47" s="61"/>
      <c r="K47" s="60"/>
      <c r="L47" s="61"/>
      <c r="M47" s="47"/>
      <c r="N47" s="61"/>
      <c r="O47" s="60"/>
    </row>
    <row r="48" spans="1:15" ht="15.75" customHeight="1" x14ac:dyDescent="0.25">
      <c r="A48" s="75"/>
      <c r="B48" s="76" t="s">
        <v>139</v>
      </c>
      <c r="C48" s="25">
        <f>C38+C46</f>
        <v>-394.00000000000182</v>
      </c>
      <c r="D48" s="45"/>
      <c r="E48" s="75"/>
      <c r="F48" s="76" t="s">
        <v>140</v>
      </c>
      <c r="G48" s="25">
        <f>G38+G46</f>
        <v>-717.00000000000182</v>
      </c>
      <c r="H48" s="45"/>
      <c r="I48" s="75"/>
      <c r="J48" s="76" t="s">
        <v>141</v>
      </c>
      <c r="K48" s="25">
        <f>K38+K46</f>
        <v>-1590.0000000000018</v>
      </c>
      <c r="L48" s="45"/>
      <c r="M48" s="75"/>
      <c r="N48" s="76" t="s">
        <v>142</v>
      </c>
      <c r="O48" s="25">
        <f>O38+O46</f>
        <v>-757.800000000002</v>
      </c>
    </row>
    <row r="49" spans="1:15" ht="3" customHeight="1" x14ac:dyDescent="0.25">
      <c r="A49" s="47"/>
      <c r="B49" s="61"/>
      <c r="C49" s="60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</row>
    <row r="50" spans="1:15" x14ac:dyDescent="0.25">
      <c r="A50" s="77"/>
      <c r="B50" s="63"/>
      <c r="C50" s="64"/>
      <c r="D50" s="61"/>
      <c r="E50" s="77"/>
      <c r="F50" s="63"/>
      <c r="G50" s="64"/>
      <c r="H50" s="61"/>
      <c r="I50" s="77"/>
      <c r="J50" s="63"/>
      <c r="K50" s="64"/>
      <c r="L50" s="61"/>
      <c r="M50" s="77"/>
      <c r="N50" s="63"/>
      <c r="O50" s="64"/>
    </row>
    <row r="51" spans="1:15" ht="15" customHeight="1" x14ac:dyDescent="0.25"/>
    <row r="52" spans="1:15" ht="20.25" customHeight="1" x14ac:dyDescent="0.3">
      <c r="A52" s="112" t="str">
        <f>UPPER(TEXT(A54,"mmmm")&amp;" "&amp;TEXT(A54,"aaaa"))</f>
        <v>JANEIRO 2024</v>
      </c>
      <c r="B52" s="113"/>
      <c r="C52" s="113"/>
      <c r="D52" s="61"/>
      <c r="E52" s="112" t="str">
        <f>UPPER(TEXT(E54,"mmmm")&amp;" "&amp;TEXT(E54,"aaaa"))</f>
        <v>FEVEREIRO 2024</v>
      </c>
      <c r="F52" s="113"/>
      <c r="G52" s="113"/>
      <c r="H52" s="61"/>
      <c r="I52" s="112" t="str">
        <f>UPPER(TEXT(I54,"mmmm")&amp;" "&amp;TEXT(I54,"aaaa"))</f>
        <v>MARÇO 2024</v>
      </c>
      <c r="J52" s="113"/>
      <c r="K52" s="113"/>
      <c r="L52" s="61"/>
      <c r="M52" s="112" t="str">
        <f>UPPER(TEXT(M54,"mmmm")&amp;" "&amp;TEXT(M54,"aaaa"))</f>
        <v>ABRIL 2024</v>
      </c>
      <c r="N52" s="113"/>
      <c r="O52" s="113"/>
    </row>
    <row r="53" spans="1:15" x14ac:dyDescent="0.25">
      <c r="A53" s="47" t="s">
        <v>97</v>
      </c>
      <c r="B53" s="48" t="s">
        <v>98</v>
      </c>
      <c r="C53" s="49" t="s">
        <v>99</v>
      </c>
      <c r="D53" s="61"/>
      <c r="E53" s="47" t="s">
        <v>97</v>
      </c>
      <c r="F53" s="48" t="s">
        <v>98</v>
      </c>
      <c r="G53" s="49" t="s">
        <v>99</v>
      </c>
      <c r="H53" s="61"/>
      <c r="I53" s="47" t="s">
        <v>97</v>
      </c>
      <c r="J53" s="48" t="s">
        <v>98</v>
      </c>
      <c r="K53" s="49" t="s">
        <v>99</v>
      </c>
      <c r="L53" s="61"/>
      <c r="M53" s="47" t="s">
        <v>97</v>
      </c>
      <c r="N53" s="48" t="s">
        <v>98</v>
      </c>
      <c r="O53" s="49" t="s">
        <v>99</v>
      </c>
    </row>
    <row r="54" spans="1:15" x14ac:dyDescent="0.25">
      <c r="A54" s="66">
        <v>45292</v>
      </c>
      <c r="B54" s="67" t="str">
        <f>"SALDO "&amp;UPPER(TEXT(A54-1,"mmmm aaaa"))</f>
        <v>SALDO DEZEMBRO 2023</v>
      </c>
      <c r="C54" s="58">
        <f>O48</f>
        <v>-757.800000000002</v>
      </c>
      <c r="D54" s="61"/>
      <c r="E54" s="66">
        <v>45323</v>
      </c>
      <c r="F54" s="67" t="str">
        <f>"SALDO "&amp;UPPER(TEXT(E54-1,"mmmm"))</f>
        <v>SALDO JANEIRO</v>
      </c>
      <c r="G54" s="32">
        <f>C71</f>
        <v>-167.800000000002</v>
      </c>
      <c r="H54" s="61"/>
      <c r="I54" s="66">
        <v>45352</v>
      </c>
      <c r="J54" s="67" t="str">
        <f>"SALDO "&amp;UPPER(TEXT(I54-1,"mmmm"))</f>
        <v>SALDO FEVEREIRO</v>
      </c>
      <c r="K54" s="58">
        <f>G71</f>
        <v>-2523</v>
      </c>
      <c r="L54" s="61"/>
      <c r="M54" s="66">
        <v>45383</v>
      </c>
      <c r="N54" s="67" t="str">
        <f>"SALDO "&amp;UPPER(TEXT(M54-1,"mmmm"))</f>
        <v>SALDO MARÇO</v>
      </c>
      <c r="O54" s="58">
        <f>K71</f>
        <v>-2582.08</v>
      </c>
    </row>
    <row r="55" spans="1:15" x14ac:dyDescent="0.25">
      <c r="A55" s="66">
        <v>45320</v>
      </c>
      <c r="B55" s="67" t="s">
        <v>49</v>
      </c>
      <c r="C55" s="58">
        <v>-2060.08</v>
      </c>
      <c r="D55" s="61"/>
      <c r="E55" s="66">
        <v>45351</v>
      </c>
      <c r="F55" s="67" t="s">
        <v>143</v>
      </c>
      <c r="G55" s="58">
        <v>-2762.92</v>
      </c>
      <c r="H55" s="61"/>
      <c r="I55" s="66">
        <v>45380</v>
      </c>
      <c r="J55" s="67" t="s">
        <v>51</v>
      </c>
      <c r="K55" s="58">
        <v>-2059.08</v>
      </c>
      <c r="L55" s="61"/>
      <c r="M55" s="66">
        <v>45411</v>
      </c>
      <c r="N55" s="67" t="s">
        <v>52</v>
      </c>
      <c r="O55" s="58">
        <v>-2059.08</v>
      </c>
    </row>
    <row r="56" spans="1:15" x14ac:dyDescent="0.25">
      <c r="A56" s="66">
        <v>45321</v>
      </c>
      <c r="B56" s="67" t="s">
        <v>95</v>
      </c>
      <c r="C56" s="58">
        <v>-2762.92</v>
      </c>
      <c r="D56" s="61"/>
      <c r="E56" s="66">
        <v>45351</v>
      </c>
      <c r="F56" s="67" t="s">
        <v>50</v>
      </c>
      <c r="G56" s="58">
        <v>-2060.08</v>
      </c>
      <c r="H56" s="61"/>
      <c r="I56" s="66"/>
      <c r="J56" s="67"/>
      <c r="K56" s="58"/>
      <c r="L56" s="61"/>
      <c r="M56" s="66"/>
      <c r="N56" s="67"/>
      <c r="O56" s="58"/>
    </row>
    <row r="57" spans="1:15" x14ac:dyDescent="0.25">
      <c r="A57" s="66"/>
      <c r="B57" s="67"/>
      <c r="C57" s="58"/>
      <c r="D57" s="61"/>
      <c r="E57" s="66"/>
      <c r="F57" s="67"/>
      <c r="G57" s="58"/>
      <c r="H57" s="61"/>
      <c r="I57" s="66"/>
      <c r="J57" s="67"/>
      <c r="K57" s="58"/>
      <c r="L57" s="61"/>
      <c r="M57" s="66"/>
      <c r="N57" s="67"/>
      <c r="O57" s="58"/>
    </row>
    <row r="58" spans="1:15" x14ac:dyDescent="0.25">
      <c r="A58" s="66"/>
      <c r="B58" s="67"/>
      <c r="C58" s="58"/>
      <c r="D58" s="61"/>
      <c r="E58" s="66"/>
      <c r="F58" s="67"/>
      <c r="G58" s="58"/>
      <c r="H58" s="61"/>
      <c r="I58" s="66"/>
      <c r="J58" s="67"/>
      <c r="K58" s="58"/>
      <c r="L58" s="61"/>
      <c r="M58" s="66"/>
      <c r="N58" s="67"/>
      <c r="O58" s="58"/>
    </row>
    <row r="59" spans="1:15" x14ac:dyDescent="0.25">
      <c r="A59" s="66" t="str">
        <f>IF(O50&lt;0,A54,"")</f>
        <v/>
      </c>
      <c r="B59" s="67" t="str">
        <f>IF(O50&lt;0,"Juros 8% Mês "&amp;M29,"")</f>
        <v/>
      </c>
      <c r="C59" s="32">
        <f>'05-08 de 23'!O97</f>
        <v>0</v>
      </c>
      <c r="D59" s="61"/>
      <c r="E59" s="66" t="str">
        <f>IF(C73&lt;0,E54,"")</f>
        <v/>
      </c>
      <c r="F59" s="67" t="str">
        <f>IF(C73&lt;0,"Juros 8% Mês "&amp;A52,"")</f>
        <v/>
      </c>
      <c r="G59" s="32">
        <f>C73</f>
        <v>0</v>
      </c>
      <c r="H59" s="61"/>
      <c r="I59" s="66" t="str">
        <f>IF(G73&lt;0,I54,"")</f>
        <v/>
      </c>
      <c r="J59" s="67" t="str">
        <f>IF(G73&lt;0,"Juros 8% Mês "&amp;E52,"")</f>
        <v/>
      </c>
      <c r="K59" s="32">
        <f>G73</f>
        <v>0</v>
      </c>
      <c r="L59" s="61"/>
      <c r="M59" s="66" t="str">
        <f>IF(K73&lt;0,M54,"")</f>
        <v/>
      </c>
      <c r="N59" s="67" t="str">
        <f>IF(K73&lt;0,"Juros 8% Mês "&amp;I52,"")</f>
        <v/>
      </c>
      <c r="O59" s="32">
        <f>K73</f>
        <v>0</v>
      </c>
    </row>
    <row r="60" spans="1:15" ht="3" customHeight="1" x14ac:dyDescent="0.25">
      <c r="A60" s="47"/>
      <c r="B60" s="61"/>
      <c r="C60" s="42"/>
      <c r="D60" s="61"/>
      <c r="E60" s="47"/>
      <c r="F60" s="61"/>
      <c r="G60" s="42"/>
      <c r="H60" s="61"/>
      <c r="I60" s="47"/>
      <c r="J60" s="61"/>
      <c r="K60" s="42"/>
      <c r="L60" s="61"/>
      <c r="M60" s="47"/>
      <c r="N60" s="61"/>
      <c r="O60" s="42"/>
    </row>
    <row r="61" spans="1:15" ht="15.75" customHeight="1" x14ac:dyDescent="0.25">
      <c r="A61" s="68" t="s">
        <v>109</v>
      </c>
      <c r="B61" s="69">
        <f>A54</f>
        <v>45292</v>
      </c>
      <c r="C61" s="52">
        <f>SUM(C54:C59)</f>
        <v>-5580.800000000002</v>
      </c>
      <c r="D61" s="45"/>
      <c r="E61" s="68" t="s">
        <v>109</v>
      </c>
      <c r="F61" s="69">
        <f>E54</f>
        <v>45323</v>
      </c>
      <c r="G61" s="52">
        <f>SUM(G55:G59)</f>
        <v>-4823</v>
      </c>
      <c r="H61" s="45"/>
      <c r="I61" s="68" t="s">
        <v>109</v>
      </c>
      <c r="J61" s="69">
        <f>I54</f>
        <v>45352</v>
      </c>
      <c r="K61" s="52">
        <f>SUM(K54:K59)</f>
        <v>-4582.08</v>
      </c>
      <c r="L61" s="45"/>
      <c r="M61" s="68" t="s">
        <v>109</v>
      </c>
      <c r="N61" s="69">
        <f>M54</f>
        <v>45383</v>
      </c>
      <c r="O61" s="52">
        <f>SUM(O54:O59)</f>
        <v>-4641.16</v>
      </c>
    </row>
    <row r="62" spans="1:15" ht="3" customHeight="1" x14ac:dyDescent="0.25">
      <c r="A62" s="48"/>
      <c r="B62" s="61"/>
      <c r="C62" s="43"/>
      <c r="D62" s="61"/>
      <c r="E62" s="48"/>
      <c r="F62" s="61"/>
      <c r="G62" s="43"/>
      <c r="H62" s="61"/>
      <c r="I62" s="48"/>
      <c r="J62" s="61"/>
      <c r="K62" s="43"/>
      <c r="L62" s="61"/>
      <c r="M62" s="48"/>
      <c r="N62" s="61"/>
      <c r="O62" s="43"/>
    </row>
    <row r="63" spans="1:15" x14ac:dyDescent="0.25">
      <c r="A63" s="72">
        <v>45331</v>
      </c>
      <c r="B63" s="73" t="s">
        <v>31</v>
      </c>
      <c r="C63" s="55">
        <v>1413</v>
      </c>
      <c r="D63" s="61"/>
      <c r="E63" s="72">
        <v>45369</v>
      </c>
      <c r="F63" s="73" t="s">
        <v>144</v>
      </c>
      <c r="G63" s="55">
        <v>500</v>
      </c>
      <c r="H63" s="61"/>
      <c r="I63" s="72">
        <v>45387</v>
      </c>
      <c r="J63" s="73" t="s">
        <v>144</v>
      </c>
      <c r="K63" s="55">
        <v>1000</v>
      </c>
      <c r="L63" s="61"/>
      <c r="M63" s="72">
        <v>45412</v>
      </c>
      <c r="N63" s="73" t="s">
        <v>144</v>
      </c>
      <c r="O63" s="55">
        <v>1000</v>
      </c>
    </row>
    <row r="64" spans="1:15" x14ac:dyDescent="0.25">
      <c r="A64" s="72">
        <v>45334</v>
      </c>
      <c r="B64" s="73" t="s">
        <v>31</v>
      </c>
      <c r="C64" s="55">
        <v>500</v>
      </c>
      <c r="D64" s="61"/>
      <c r="E64" s="72">
        <v>45376</v>
      </c>
      <c r="F64" s="73" t="s">
        <v>144</v>
      </c>
      <c r="G64" s="55">
        <v>1800</v>
      </c>
      <c r="H64" s="61"/>
      <c r="I64" s="72">
        <v>45388</v>
      </c>
      <c r="J64" s="73" t="s">
        <v>144</v>
      </c>
      <c r="K64" s="55">
        <v>1000</v>
      </c>
      <c r="L64" s="61"/>
      <c r="M64" s="72"/>
      <c r="N64" s="73"/>
      <c r="O64" s="55"/>
    </row>
    <row r="65" spans="1:15" x14ac:dyDescent="0.25">
      <c r="A65" s="72">
        <v>45346</v>
      </c>
      <c r="B65" s="73" t="s">
        <v>31</v>
      </c>
      <c r="C65" s="55">
        <v>1500</v>
      </c>
      <c r="D65" s="61"/>
      <c r="E65" s="72"/>
      <c r="F65" s="73"/>
      <c r="G65" s="55"/>
      <c r="H65" s="61"/>
      <c r="I65" s="72"/>
      <c r="J65" s="73"/>
      <c r="K65" s="55"/>
      <c r="L65" s="61"/>
      <c r="M65" s="72"/>
      <c r="N65" s="73"/>
      <c r="O65" s="55"/>
    </row>
    <row r="66" spans="1:15" x14ac:dyDescent="0.25">
      <c r="A66" s="72">
        <v>45351</v>
      </c>
      <c r="B66" s="73" t="s">
        <v>31</v>
      </c>
      <c r="C66" s="55">
        <v>2000</v>
      </c>
      <c r="D66" s="61"/>
      <c r="E66" s="72"/>
      <c r="F66" s="73"/>
      <c r="G66" s="55"/>
      <c r="H66" s="61"/>
      <c r="I66" s="72"/>
      <c r="J66" s="73"/>
      <c r="K66" s="55"/>
      <c r="L66" s="61"/>
      <c r="M66" s="72"/>
      <c r="N66" s="73"/>
      <c r="O66" s="55"/>
    </row>
    <row r="67" spans="1:15" x14ac:dyDescent="0.25">
      <c r="A67" s="72"/>
      <c r="B67" s="73"/>
      <c r="C67" s="55"/>
      <c r="D67" s="61"/>
      <c r="E67" s="72"/>
      <c r="F67" s="73"/>
      <c r="G67" s="55"/>
      <c r="H67" s="61"/>
      <c r="I67" s="72"/>
      <c r="J67" s="73"/>
      <c r="K67" s="55"/>
      <c r="L67" s="61"/>
      <c r="M67" s="72"/>
      <c r="N67" s="73"/>
      <c r="O67" s="55"/>
    </row>
    <row r="68" spans="1:15" ht="3" customHeight="1" x14ac:dyDescent="0.25">
      <c r="A68" s="47"/>
      <c r="B68" s="61"/>
      <c r="C68" s="42"/>
      <c r="D68" s="61"/>
      <c r="E68" s="47"/>
      <c r="F68" s="61"/>
      <c r="G68" s="42"/>
      <c r="H68" s="61"/>
      <c r="I68" s="47"/>
      <c r="J68" s="61"/>
      <c r="K68" s="42"/>
      <c r="L68" s="61"/>
      <c r="M68" s="47"/>
      <c r="N68" s="61"/>
      <c r="O68" s="42"/>
    </row>
    <row r="69" spans="1:15" ht="15.75" customHeight="1" x14ac:dyDescent="0.25">
      <c r="A69" s="74" t="s">
        <v>3</v>
      </c>
      <c r="B69" s="73" t="s">
        <v>110</v>
      </c>
      <c r="C69" s="57">
        <f>SUM(C63:C67)</f>
        <v>5413</v>
      </c>
      <c r="D69" s="61"/>
      <c r="E69" s="74" t="s">
        <v>3</v>
      </c>
      <c r="F69" s="73" t="s">
        <v>110</v>
      </c>
      <c r="G69" s="57">
        <f>SUM(G63:G67)</f>
        <v>2300</v>
      </c>
      <c r="H69" s="61"/>
      <c r="I69" s="74" t="s">
        <v>3</v>
      </c>
      <c r="J69" s="73" t="s">
        <v>110</v>
      </c>
      <c r="K69" s="57">
        <f>SUM(K63:K67)</f>
        <v>2000</v>
      </c>
      <c r="L69" s="61"/>
      <c r="M69" s="74" t="s">
        <v>3</v>
      </c>
      <c r="N69" s="73" t="s">
        <v>110</v>
      </c>
      <c r="O69" s="57">
        <f>SUM(O63:O67)</f>
        <v>1000</v>
      </c>
    </row>
    <row r="70" spans="1:15" ht="3" customHeight="1" x14ac:dyDescent="0.25">
      <c r="A70" s="47"/>
      <c r="B70" s="61"/>
      <c r="C70" s="60"/>
      <c r="D70" s="61"/>
      <c r="E70" s="47"/>
      <c r="F70" s="61"/>
      <c r="G70" s="60"/>
      <c r="H70" s="61"/>
      <c r="I70" s="47"/>
      <c r="J70" s="61"/>
      <c r="K70" s="60"/>
      <c r="L70" s="61"/>
      <c r="M70" s="47"/>
      <c r="N70" s="61"/>
      <c r="O70" s="60"/>
    </row>
    <row r="71" spans="1:15" ht="15.75" customHeight="1" x14ac:dyDescent="0.25">
      <c r="A71" s="75" t="s">
        <v>111</v>
      </c>
      <c r="B71" s="76">
        <f>B61</f>
        <v>45292</v>
      </c>
      <c r="C71" s="25">
        <f>C61+C69</f>
        <v>-167.800000000002</v>
      </c>
      <c r="D71" s="45"/>
      <c r="E71" s="75" t="s">
        <v>111</v>
      </c>
      <c r="F71" s="76">
        <f>F61</f>
        <v>45323</v>
      </c>
      <c r="G71" s="25">
        <f>G61+G69</f>
        <v>-2523</v>
      </c>
      <c r="H71" s="45"/>
      <c r="I71" s="75" t="s">
        <v>111</v>
      </c>
      <c r="J71" s="76">
        <f>J61</f>
        <v>45352</v>
      </c>
      <c r="K71" s="25">
        <f>K61+K69</f>
        <v>-2582.08</v>
      </c>
      <c r="L71" s="45"/>
      <c r="M71" s="75" t="s">
        <v>111</v>
      </c>
      <c r="N71" s="76">
        <f>N61</f>
        <v>45383</v>
      </c>
      <c r="O71" s="25">
        <f>O61+O69</f>
        <v>-3641.16</v>
      </c>
    </row>
    <row r="72" spans="1:15" ht="3" customHeight="1" x14ac:dyDescent="0.25">
      <c r="A72" s="47"/>
      <c r="B72" s="61"/>
      <c r="C72" s="60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</row>
    <row r="73" spans="1:15" x14ac:dyDescent="0.25">
      <c r="A73" s="77"/>
      <c r="B73" s="63"/>
      <c r="C73" s="64"/>
      <c r="D73" s="61"/>
      <c r="E73" s="77"/>
      <c r="F73" s="63"/>
      <c r="G73" s="64"/>
      <c r="H73" s="61"/>
      <c r="I73" s="77"/>
      <c r="J73" s="63"/>
      <c r="K73" s="64"/>
      <c r="L73" s="61"/>
      <c r="M73" s="77"/>
      <c r="N73" s="63"/>
      <c r="O73" s="64"/>
    </row>
    <row r="74" spans="1:15" ht="3" customHeight="1" x14ac:dyDescent="0.25"/>
    <row r="75" spans="1:15" ht="20.25" customHeight="1" x14ac:dyDescent="0.3">
      <c r="A75" s="112" t="str">
        <f>UPPER(TEXT(A77,"mmmm")&amp;" "&amp;TEXT(A77,"aaaa"))</f>
        <v>MAIO 2024</v>
      </c>
      <c r="B75" s="113"/>
      <c r="C75" s="113"/>
      <c r="D75" s="81"/>
      <c r="E75" s="112" t="str">
        <f>UPPER(TEXT(E77,"mmmm")&amp;" "&amp;TEXT(E77,"aaaa"))</f>
        <v>JUNHO 2024</v>
      </c>
      <c r="F75" s="113"/>
      <c r="G75" s="113"/>
      <c r="H75" s="81"/>
      <c r="I75" s="112" t="str">
        <f>UPPER(TEXT(I77,"mmmm")&amp;" "&amp;TEXT(I77,"aaaa"))</f>
        <v>JULHO 2024</v>
      </c>
      <c r="J75" s="113"/>
      <c r="K75" s="113"/>
      <c r="L75" s="81"/>
      <c r="M75" s="112" t="str">
        <f>UPPER(TEXT(M77,"mmmm")&amp;" "&amp;TEXT(M77,"aaaa"))</f>
        <v>AGOSTO 2024</v>
      </c>
      <c r="N75" s="113"/>
      <c r="O75" s="113"/>
    </row>
    <row r="76" spans="1:15" x14ac:dyDescent="0.25">
      <c r="A76" s="47" t="s">
        <v>97</v>
      </c>
      <c r="B76" s="48" t="s">
        <v>98</v>
      </c>
      <c r="C76" s="49" t="s">
        <v>99</v>
      </c>
      <c r="D76" s="81"/>
      <c r="E76" s="47" t="s">
        <v>97</v>
      </c>
      <c r="F76" s="48" t="s">
        <v>98</v>
      </c>
      <c r="G76" s="49" t="s">
        <v>99</v>
      </c>
      <c r="H76" s="81"/>
      <c r="I76" s="47" t="s">
        <v>97</v>
      </c>
      <c r="J76" s="48" t="s">
        <v>98</v>
      </c>
      <c r="K76" s="49" t="s">
        <v>99</v>
      </c>
      <c r="L76" s="81"/>
      <c r="M76" s="47" t="s">
        <v>97</v>
      </c>
      <c r="N76" s="48" t="s">
        <v>98</v>
      </c>
      <c r="O76" s="49" t="s">
        <v>99</v>
      </c>
    </row>
    <row r="77" spans="1:15" x14ac:dyDescent="0.25">
      <c r="A77" s="66">
        <v>45413</v>
      </c>
      <c r="B77" s="67" t="str">
        <f>"SALDO "&amp;UPPER(TEXT(A77-1,"mmmm"))</f>
        <v>SALDO ABRIL</v>
      </c>
      <c r="C77" s="32">
        <f>O71</f>
        <v>-3641.16</v>
      </c>
      <c r="D77" s="45"/>
      <c r="E77" s="66">
        <v>45444</v>
      </c>
      <c r="F77" s="67" t="str">
        <f>"SALDO "&amp;UPPER(TEXT(E77-1,"mmmm"))</f>
        <v>SALDO MAIO</v>
      </c>
      <c r="G77" s="32">
        <f>C94</f>
        <v>-3700.24</v>
      </c>
      <c r="H77" s="45"/>
      <c r="I77" s="66">
        <v>45474</v>
      </c>
      <c r="J77" s="67" t="str">
        <f>"SALDO "&amp;UPPER(TEXT(I77-1,"mmmm"))</f>
        <v>SALDO JUNHO</v>
      </c>
      <c r="K77" s="32">
        <f>G94</f>
        <v>-3759.3199999999997</v>
      </c>
      <c r="L77" s="45"/>
      <c r="M77" s="66">
        <v>45505</v>
      </c>
      <c r="N77" s="67" t="str">
        <f>"SALDO "&amp;UPPER(TEXT(M77-1,"mmmm"))</f>
        <v>SALDO JULHO</v>
      </c>
      <c r="O77" s="32">
        <f>K94</f>
        <v>-3818.3999999999996</v>
      </c>
    </row>
    <row r="78" spans="1:15" x14ac:dyDescent="0.25">
      <c r="A78" s="66">
        <f>A77+28</f>
        <v>45441</v>
      </c>
      <c r="B78" s="67" t="s">
        <v>53</v>
      </c>
      <c r="C78" s="32">
        <v>-2059.08</v>
      </c>
      <c r="D78" s="45"/>
      <c r="E78" s="66">
        <f>E77+28</f>
        <v>45472</v>
      </c>
      <c r="F78" s="67" t="s">
        <v>54</v>
      </c>
      <c r="G78" s="32">
        <v>-2059.08</v>
      </c>
      <c r="H78" s="45"/>
      <c r="I78" s="66">
        <f>I77+28</f>
        <v>45502</v>
      </c>
      <c r="J78" s="67" t="s">
        <v>55</v>
      </c>
      <c r="K78" s="32">
        <v>-2059.08</v>
      </c>
      <c r="L78" s="45"/>
      <c r="M78" s="66">
        <f>M77+28</f>
        <v>45533</v>
      </c>
      <c r="N78" s="67" t="s">
        <v>56</v>
      </c>
      <c r="O78" s="32">
        <v>-2059.08</v>
      </c>
    </row>
    <row r="79" spans="1:15" x14ac:dyDescent="0.25">
      <c r="A79" s="66"/>
      <c r="B79" s="67"/>
      <c r="C79" s="32"/>
      <c r="D79" s="45"/>
      <c r="E79" s="66"/>
      <c r="F79" s="67"/>
      <c r="G79" s="32"/>
      <c r="H79" s="45"/>
      <c r="I79" s="66"/>
      <c r="J79" s="67"/>
      <c r="K79" s="32"/>
      <c r="L79" s="45"/>
      <c r="M79" s="66"/>
      <c r="N79" s="67"/>
      <c r="O79" s="32"/>
    </row>
    <row r="80" spans="1:15" x14ac:dyDescent="0.25">
      <c r="A80" s="66"/>
      <c r="B80" s="67"/>
      <c r="C80" s="32"/>
      <c r="D80" s="45"/>
      <c r="E80" s="66"/>
      <c r="F80" s="67"/>
      <c r="G80" s="32"/>
      <c r="H80" s="45"/>
      <c r="I80" s="66"/>
      <c r="J80" s="67"/>
      <c r="K80" s="32"/>
      <c r="L80" s="45"/>
      <c r="M80" s="66"/>
      <c r="N80" s="67"/>
      <c r="O80" s="32"/>
    </row>
    <row r="81" spans="1:15" x14ac:dyDescent="0.25">
      <c r="A81" s="66"/>
      <c r="B81" s="67"/>
      <c r="C81" s="32"/>
      <c r="D81" s="45"/>
      <c r="E81" s="66"/>
      <c r="F81" s="67"/>
      <c r="G81" s="32"/>
      <c r="H81" s="45"/>
      <c r="I81" s="66"/>
      <c r="J81" s="67"/>
      <c r="K81" s="32"/>
      <c r="L81" s="45"/>
      <c r="M81" s="66"/>
      <c r="N81" s="67"/>
      <c r="O81" s="32"/>
    </row>
    <row r="82" spans="1:15" x14ac:dyDescent="0.25">
      <c r="A82" s="66" t="str">
        <f>IF(O73&lt;0,A77,"")</f>
        <v/>
      </c>
      <c r="B82" s="67" t="str">
        <f>IF(O73&lt;0,"Juros 8% Mês "&amp;M52,"")</f>
        <v/>
      </c>
      <c r="C82" s="32">
        <f>'05-08 de 23'!O120</f>
        <v>0</v>
      </c>
      <c r="D82" s="45"/>
      <c r="E82" s="66" t="str">
        <f>IF(C96&lt;0,E77,"")</f>
        <v/>
      </c>
      <c r="F82" s="67" t="str">
        <f>IF(C96&lt;0,"Juros 8% Mês "&amp;A75,"")</f>
        <v/>
      </c>
      <c r="G82" s="32">
        <f>C96</f>
        <v>0</v>
      </c>
      <c r="H82" s="45"/>
      <c r="I82" s="66" t="str">
        <f>IF(G96&lt;0,I77,"")</f>
        <v/>
      </c>
      <c r="J82" s="67" t="str">
        <f>IF(G96&lt;0,"Juros 8% Mês "&amp;E75,"")</f>
        <v/>
      </c>
      <c r="K82" s="32">
        <f>G96</f>
        <v>0</v>
      </c>
      <c r="L82" s="45"/>
      <c r="M82" s="66" t="str">
        <f>IF(K96&lt;0,M77,"")</f>
        <v/>
      </c>
      <c r="N82" s="67" t="str">
        <f>IF(K96&lt;0,"Juros 8% Mês "&amp;I75,"")</f>
        <v/>
      </c>
      <c r="O82" s="32">
        <f>K96</f>
        <v>0</v>
      </c>
    </row>
    <row r="83" spans="1:15" ht="3" customHeight="1" x14ac:dyDescent="0.25">
      <c r="A83" s="82"/>
      <c r="B83" s="45"/>
      <c r="C83" s="38"/>
      <c r="D83" s="45"/>
      <c r="E83" s="82"/>
      <c r="F83" s="45"/>
      <c r="G83" s="38"/>
      <c r="H83" s="45"/>
      <c r="I83" s="82"/>
      <c r="J83" s="45"/>
      <c r="K83" s="38"/>
      <c r="L83" s="45"/>
      <c r="M83" s="82"/>
      <c r="N83" s="45"/>
      <c r="O83" s="38"/>
    </row>
    <row r="84" spans="1:15" ht="15.75" customHeight="1" x14ac:dyDescent="0.25">
      <c r="A84" s="68" t="s">
        <v>109</v>
      </c>
      <c r="B84" s="69">
        <f>A77</f>
        <v>45413</v>
      </c>
      <c r="C84" s="52">
        <f>SUM(C77:C82)</f>
        <v>-5700.24</v>
      </c>
      <c r="D84" s="45"/>
      <c r="E84" s="68" t="s">
        <v>109</v>
      </c>
      <c r="F84" s="69">
        <f>E77</f>
        <v>45444</v>
      </c>
      <c r="G84" s="52">
        <f>SUM(G77:G82)</f>
        <v>-5759.32</v>
      </c>
      <c r="H84" s="45"/>
      <c r="I84" s="68" t="s">
        <v>109</v>
      </c>
      <c r="J84" s="69">
        <f>I77</f>
        <v>45474</v>
      </c>
      <c r="K84" s="52">
        <f>SUM(K77:K82)</f>
        <v>-5818.4</v>
      </c>
      <c r="L84" s="45"/>
      <c r="M84" s="68" t="s">
        <v>109</v>
      </c>
      <c r="N84" s="69">
        <f>M77</f>
        <v>45505</v>
      </c>
      <c r="O84" s="52">
        <f>SUM(O77:O82)</f>
        <v>-5877.48</v>
      </c>
    </row>
    <row r="85" spans="1:15" ht="3" customHeight="1" x14ac:dyDescent="0.25">
      <c r="A85" s="83"/>
      <c r="B85" s="45"/>
      <c r="C85" s="40"/>
      <c r="D85" s="45"/>
      <c r="E85" s="83"/>
      <c r="F85" s="45"/>
      <c r="G85" s="40"/>
      <c r="H85" s="45"/>
      <c r="I85" s="83"/>
      <c r="J85" s="45"/>
      <c r="K85" s="40"/>
      <c r="L85" s="45"/>
      <c r="M85" s="83"/>
      <c r="N85" s="45"/>
      <c r="O85" s="40"/>
    </row>
    <row r="86" spans="1:15" x14ac:dyDescent="0.25">
      <c r="A86" s="92">
        <v>45421</v>
      </c>
      <c r="B86" s="93" t="s">
        <v>145</v>
      </c>
      <c r="C86" s="94">
        <v>2000</v>
      </c>
      <c r="D86" s="61"/>
      <c r="E86" s="92">
        <v>45450</v>
      </c>
      <c r="F86" s="93" t="s">
        <v>145</v>
      </c>
      <c r="G86" s="94">
        <v>2000</v>
      </c>
      <c r="H86" s="61"/>
      <c r="I86" s="92">
        <v>45477</v>
      </c>
      <c r="J86" s="93" t="s">
        <v>144</v>
      </c>
      <c r="K86" s="94">
        <v>2000</v>
      </c>
      <c r="L86" s="61"/>
      <c r="M86" s="72"/>
      <c r="N86" s="73"/>
      <c r="O86" s="55"/>
    </row>
    <row r="87" spans="1:15" x14ac:dyDescent="0.25">
      <c r="A87" s="72"/>
      <c r="B87" s="73"/>
      <c r="C87" s="55"/>
      <c r="D87" s="61"/>
      <c r="E87" s="72"/>
      <c r="F87" s="73"/>
      <c r="G87" s="55"/>
      <c r="H87" s="61"/>
      <c r="I87" s="72"/>
      <c r="J87" s="73"/>
      <c r="K87" s="55"/>
      <c r="L87" s="61"/>
      <c r="M87" s="72"/>
      <c r="N87" s="73"/>
      <c r="O87" s="55"/>
    </row>
    <row r="88" spans="1:15" x14ac:dyDescent="0.25">
      <c r="A88" s="72"/>
      <c r="B88" s="73"/>
      <c r="C88" s="55"/>
      <c r="D88" s="61"/>
      <c r="E88" s="72"/>
      <c r="F88" s="73"/>
      <c r="G88" s="55"/>
      <c r="H88" s="61"/>
      <c r="I88" s="72"/>
      <c r="J88" s="73"/>
      <c r="K88" s="55"/>
      <c r="L88" s="61"/>
      <c r="M88" s="72"/>
      <c r="N88" s="73"/>
      <c r="O88" s="55"/>
    </row>
    <row r="89" spans="1:15" x14ac:dyDescent="0.25">
      <c r="A89" s="72"/>
      <c r="B89" s="73"/>
      <c r="C89" s="55"/>
      <c r="D89" s="61"/>
      <c r="E89" s="72"/>
      <c r="F89" s="73"/>
      <c r="G89" s="55"/>
      <c r="H89" s="61"/>
      <c r="I89" s="72"/>
      <c r="J89" s="73"/>
      <c r="K89" s="55"/>
      <c r="L89" s="61"/>
      <c r="M89" s="72"/>
      <c r="N89" s="73"/>
      <c r="O89" s="55"/>
    </row>
    <row r="90" spans="1:15" x14ac:dyDescent="0.25">
      <c r="A90" s="72"/>
      <c r="B90" s="73"/>
      <c r="C90" s="55"/>
      <c r="D90" s="61"/>
      <c r="E90" s="72"/>
      <c r="F90" s="73"/>
      <c r="G90" s="55"/>
      <c r="H90" s="61"/>
      <c r="I90" s="72"/>
      <c r="J90" s="73"/>
      <c r="K90" s="55"/>
      <c r="L90" s="61"/>
      <c r="M90" s="72"/>
      <c r="N90" s="73"/>
      <c r="O90" s="55"/>
    </row>
    <row r="91" spans="1:15" ht="3" customHeight="1" x14ac:dyDescent="0.25">
      <c r="A91" s="82"/>
      <c r="B91" s="45"/>
      <c r="C91" s="38"/>
      <c r="D91" s="45"/>
      <c r="E91" s="82"/>
      <c r="F91" s="45"/>
      <c r="G91" s="38"/>
      <c r="H91" s="61"/>
      <c r="I91" s="82"/>
      <c r="J91" s="45"/>
      <c r="K91" s="38"/>
      <c r="L91" s="61"/>
      <c r="M91" s="82"/>
      <c r="N91" s="45"/>
      <c r="O91" s="38"/>
    </row>
    <row r="92" spans="1:15" ht="15.75" customHeight="1" x14ac:dyDescent="0.25">
      <c r="A92" s="74" t="s">
        <v>3</v>
      </c>
      <c r="B92" s="73" t="s">
        <v>110</v>
      </c>
      <c r="C92" s="57">
        <f>SUM(C86:C90)</f>
        <v>2000</v>
      </c>
      <c r="D92" s="61"/>
      <c r="E92" s="74" t="s">
        <v>3</v>
      </c>
      <c r="F92" s="73" t="s">
        <v>110</v>
      </c>
      <c r="G92" s="57">
        <f>SUM(G86:G90)</f>
        <v>2000</v>
      </c>
      <c r="H92" s="61"/>
      <c r="I92" s="74" t="s">
        <v>3</v>
      </c>
      <c r="J92" s="73" t="s">
        <v>110</v>
      </c>
      <c r="K92" s="57">
        <f>SUM(K86:K90)</f>
        <v>2000</v>
      </c>
      <c r="L92" s="61"/>
      <c r="M92" s="74" t="s">
        <v>3</v>
      </c>
      <c r="N92" s="73" t="s">
        <v>110</v>
      </c>
      <c r="O92" s="57">
        <f>SUM(O86:O90)</f>
        <v>0</v>
      </c>
    </row>
    <row r="93" spans="1:15" ht="3" customHeight="1" x14ac:dyDescent="0.25">
      <c r="A93" s="82"/>
      <c r="B93" s="45"/>
      <c r="C93" s="44"/>
      <c r="D93" s="45"/>
      <c r="E93" s="82"/>
      <c r="F93" s="45"/>
      <c r="G93" s="44"/>
      <c r="H93" s="45"/>
      <c r="I93" s="82"/>
      <c r="J93" s="45"/>
      <c r="K93" s="44"/>
      <c r="L93" s="45"/>
      <c r="M93" s="82"/>
      <c r="N93" s="45"/>
      <c r="O93" s="44"/>
    </row>
    <row r="94" spans="1:15" ht="15.75" customHeight="1" x14ac:dyDescent="0.25">
      <c r="A94" s="75" t="s">
        <v>111</v>
      </c>
      <c r="B94" s="76">
        <f>B84</f>
        <v>45413</v>
      </c>
      <c r="C94" s="25">
        <f>C84+C92</f>
        <v>-3700.24</v>
      </c>
      <c r="D94" s="45"/>
      <c r="E94" s="75" t="s">
        <v>111</v>
      </c>
      <c r="F94" s="76">
        <f>F84</f>
        <v>45444</v>
      </c>
      <c r="G94" s="25">
        <f>G84+G92</f>
        <v>-3759.3199999999997</v>
      </c>
      <c r="H94" s="45"/>
      <c r="I94" s="75" t="s">
        <v>111</v>
      </c>
      <c r="J94" s="76">
        <f>J84</f>
        <v>45474</v>
      </c>
      <c r="K94" s="25">
        <f>K84+K92</f>
        <v>-3818.3999999999996</v>
      </c>
      <c r="L94" s="45"/>
      <c r="M94" s="75" t="s">
        <v>111</v>
      </c>
      <c r="N94" s="76">
        <f>N84</f>
        <v>45505</v>
      </c>
      <c r="O94" s="25">
        <f>O84+O92</f>
        <v>-5877.48</v>
      </c>
    </row>
    <row r="95" spans="1:15" ht="3" customHeight="1" x14ac:dyDescent="0.25">
      <c r="A95" s="82"/>
      <c r="B95" s="45"/>
      <c r="C95" s="44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</row>
    <row r="96" spans="1:15" x14ac:dyDescent="0.25">
      <c r="A96" s="77"/>
      <c r="B96" s="63"/>
      <c r="C96" s="64"/>
      <c r="D96" s="61"/>
      <c r="E96" s="77"/>
      <c r="F96" s="63"/>
      <c r="G96" s="64"/>
      <c r="H96" s="61"/>
      <c r="I96" s="77"/>
      <c r="J96" s="63"/>
      <c r="K96" s="64"/>
      <c r="L96" s="61"/>
      <c r="M96" s="77"/>
      <c r="N96" s="63"/>
      <c r="O96" s="64"/>
    </row>
    <row r="97" spans="1:15" ht="3" customHeight="1" x14ac:dyDescent="0.25"/>
    <row r="98" spans="1:15" ht="20.25" customHeight="1" x14ac:dyDescent="0.3">
      <c r="A98" s="112" t="str">
        <f>UPPER(TEXT(A100,"mmmm")&amp;" "&amp;TEXT(A100,"aaaa"))</f>
        <v>SETEMBRO 2024</v>
      </c>
      <c r="B98" s="113"/>
      <c r="C98" s="113"/>
      <c r="D98" s="81"/>
      <c r="E98" s="112" t="str">
        <f>UPPER(TEXT(E100,"mmmm")&amp;" "&amp;TEXT(E100,"aaaa"))</f>
        <v>OUTUBRO 2024</v>
      </c>
      <c r="F98" s="113"/>
      <c r="G98" s="113"/>
      <c r="H98" s="81"/>
      <c r="I98" s="112" t="str">
        <f>UPPER(TEXT(I100,"mmmm")&amp;" "&amp;TEXT(I100,"aaaa"))</f>
        <v>NOVEMBRO 2024</v>
      </c>
      <c r="J98" s="113"/>
      <c r="K98" s="113"/>
      <c r="L98" s="81"/>
      <c r="M98" s="112" t="str">
        <f>UPPER(TEXT(M100,"mmmm")&amp;" "&amp;TEXT(M100,"aaaa"))</f>
        <v>DEZEMBRO 2024</v>
      </c>
      <c r="N98" s="113"/>
      <c r="O98" s="113"/>
    </row>
    <row r="99" spans="1:15" x14ac:dyDescent="0.25">
      <c r="A99" s="47" t="s">
        <v>97</v>
      </c>
      <c r="B99" s="48" t="s">
        <v>98</v>
      </c>
      <c r="C99" s="49" t="s">
        <v>99</v>
      </c>
      <c r="D99" s="81"/>
      <c r="E99" s="47" t="s">
        <v>97</v>
      </c>
      <c r="F99" s="48" t="s">
        <v>98</v>
      </c>
      <c r="G99" s="49" t="s">
        <v>99</v>
      </c>
      <c r="H99" s="81"/>
      <c r="I99" s="47" t="s">
        <v>97</v>
      </c>
      <c r="J99" s="48" t="s">
        <v>98</v>
      </c>
      <c r="K99" s="49" t="s">
        <v>99</v>
      </c>
      <c r="L99" s="81"/>
      <c r="M99" s="47" t="s">
        <v>97</v>
      </c>
      <c r="N99" s="48" t="s">
        <v>98</v>
      </c>
      <c r="O99" s="49" t="s">
        <v>99</v>
      </c>
    </row>
    <row r="100" spans="1:15" x14ac:dyDescent="0.25">
      <c r="A100" s="66">
        <v>45536</v>
      </c>
      <c r="B100" s="67" t="str">
        <f>"SALDO "&amp;UPPER(TEXT(A100-1,"mmmm"))</f>
        <v>SALDO AGOSTO</v>
      </c>
      <c r="C100" s="32">
        <f>O94</f>
        <v>-5877.48</v>
      </c>
      <c r="D100" s="45"/>
      <c r="E100" s="66">
        <v>45566</v>
      </c>
      <c r="F100" s="67" t="str">
        <f>"SALDO "&amp;UPPER(TEXT(E100-1,"mmmm"))</f>
        <v>SALDO SETEMBRO</v>
      </c>
      <c r="G100" s="32">
        <f>C117</f>
        <v>-7936.5599999999995</v>
      </c>
      <c r="H100" s="45"/>
      <c r="I100" s="66">
        <v>45597</v>
      </c>
      <c r="J100" s="67" t="str">
        <f>"SALDO "&amp;UPPER(TEXT(I100-1,"mmmm"))</f>
        <v>SALDO OUTUBRO</v>
      </c>
      <c r="K100" s="32">
        <f>G117</f>
        <v>-9995.64</v>
      </c>
      <c r="L100" s="45"/>
      <c r="M100" s="66">
        <v>45627</v>
      </c>
      <c r="N100" s="67" t="str">
        <f>"SALDO "&amp;UPPER(TEXT(M100-1,"mmmm"))</f>
        <v>SALDO NOVEMBRO</v>
      </c>
      <c r="O100" s="32">
        <f>K117</f>
        <v>-12054.72</v>
      </c>
    </row>
    <row r="101" spans="1:15" x14ac:dyDescent="0.25">
      <c r="A101" s="66">
        <f>A100+28</f>
        <v>45564</v>
      </c>
      <c r="B101" s="67" t="s">
        <v>57</v>
      </c>
      <c r="C101" s="32">
        <v>-2059.08</v>
      </c>
      <c r="D101" s="45"/>
      <c r="E101" s="66">
        <f>E100+28</f>
        <v>45594</v>
      </c>
      <c r="F101" s="67" t="s">
        <v>58</v>
      </c>
      <c r="G101" s="32">
        <v>-2059.08</v>
      </c>
      <c r="H101" s="45"/>
      <c r="I101" s="66">
        <f>I100+28</f>
        <v>45625</v>
      </c>
      <c r="J101" s="67" t="s">
        <v>53</v>
      </c>
      <c r="K101" s="32">
        <v>-2059.08</v>
      </c>
      <c r="L101" s="45"/>
      <c r="M101" s="66">
        <f>M100+28</f>
        <v>45655</v>
      </c>
      <c r="N101" s="67" t="s">
        <v>53</v>
      </c>
      <c r="O101" s="32">
        <v>-2059.08</v>
      </c>
    </row>
    <row r="102" spans="1:15" x14ac:dyDescent="0.25">
      <c r="A102" s="66"/>
      <c r="B102" s="67"/>
      <c r="C102" s="32"/>
      <c r="D102" s="45"/>
      <c r="E102" s="66"/>
      <c r="F102" s="67"/>
      <c r="G102" s="32"/>
      <c r="H102" s="45"/>
      <c r="I102" s="66"/>
      <c r="J102" s="67"/>
      <c r="K102" s="32"/>
      <c r="L102" s="45"/>
      <c r="M102" s="66"/>
      <c r="N102" s="67"/>
      <c r="O102" s="32"/>
    </row>
    <row r="103" spans="1:15" x14ac:dyDescent="0.25">
      <c r="A103" s="66"/>
      <c r="B103" s="67"/>
      <c r="C103" s="32"/>
      <c r="D103" s="45"/>
      <c r="E103" s="66"/>
      <c r="F103" s="67"/>
      <c r="G103" s="32"/>
      <c r="H103" s="45"/>
      <c r="I103" s="66"/>
      <c r="J103" s="67"/>
      <c r="K103" s="32"/>
      <c r="L103" s="45"/>
      <c r="M103" s="66"/>
      <c r="N103" s="67"/>
      <c r="O103" s="32"/>
    </row>
    <row r="104" spans="1:15" x14ac:dyDescent="0.25">
      <c r="A104" s="66"/>
      <c r="B104" s="67"/>
      <c r="C104" s="32"/>
      <c r="D104" s="45"/>
      <c r="E104" s="66"/>
      <c r="F104" s="67"/>
      <c r="G104" s="32"/>
      <c r="H104" s="45"/>
      <c r="I104" s="66"/>
      <c r="J104" s="67"/>
      <c r="K104" s="32"/>
      <c r="L104" s="45"/>
      <c r="M104" s="66"/>
      <c r="N104" s="67"/>
      <c r="O104" s="32"/>
    </row>
    <row r="105" spans="1:15" x14ac:dyDescent="0.25">
      <c r="A105" s="66"/>
      <c r="B105" s="67"/>
      <c r="C105" s="32"/>
      <c r="D105" s="45"/>
      <c r="E105" s="66"/>
      <c r="F105" s="67"/>
      <c r="G105" s="32"/>
      <c r="H105" s="45"/>
      <c r="I105" s="66"/>
      <c r="J105" s="67"/>
      <c r="K105" s="32"/>
      <c r="L105" s="45"/>
      <c r="M105" s="66"/>
      <c r="N105" s="67"/>
      <c r="O105" s="32"/>
    </row>
    <row r="106" spans="1:15" ht="3" customHeight="1" x14ac:dyDescent="0.25">
      <c r="A106" s="82"/>
      <c r="B106" s="45"/>
      <c r="C106" s="38"/>
      <c r="D106" s="45"/>
      <c r="E106" s="82"/>
      <c r="F106" s="45"/>
      <c r="G106" s="38"/>
      <c r="H106" s="45"/>
      <c r="I106" s="82"/>
      <c r="J106" s="45"/>
      <c r="K106" s="38"/>
      <c r="L106" s="45"/>
      <c r="M106" s="82"/>
      <c r="N106" s="45"/>
      <c r="O106" s="38"/>
    </row>
    <row r="107" spans="1:15" ht="15.75" customHeight="1" x14ac:dyDescent="0.25">
      <c r="A107" s="68" t="s">
        <v>109</v>
      </c>
      <c r="B107" s="69">
        <f>A100</f>
        <v>45536</v>
      </c>
      <c r="C107" s="52">
        <f>SUM(C100:C105)</f>
        <v>-7936.5599999999995</v>
      </c>
      <c r="D107" s="45"/>
      <c r="E107" s="68" t="s">
        <v>109</v>
      </c>
      <c r="F107" s="69">
        <f>E100</f>
        <v>45566</v>
      </c>
      <c r="G107" s="52">
        <f>SUM(G100:G105)</f>
        <v>-9995.64</v>
      </c>
      <c r="H107" s="45"/>
      <c r="I107" s="68" t="s">
        <v>109</v>
      </c>
      <c r="J107" s="69">
        <f>I100</f>
        <v>45597</v>
      </c>
      <c r="K107" s="52">
        <f>SUM(K100:K105)</f>
        <v>-12054.72</v>
      </c>
      <c r="L107" s="45"/>
      <c r="M107" s="68" t="s">
        <v>109</v>
      </c>
      <c r="N107" s="69">
        <f>M100</f>
        <v>45627</v>
      </c>
      <c r="O107" s="52">
        <f>SUM(O100:O105)</f>
        <v>-14113.8</v>
      </c>
    </row>
    <row r="108" spans="1:15" ht="3" customHeight="1" x14ac:dyDescent="0.25">
      <c r="A108" s="83"/>
      <c r="B108" s="45"/>
      <c r="C108" s="40"/>
      <c r="D108" s="45"/>
      <c r="E108" s="83"/>
      <c r="F108" s="45"/>
      <c r="G108" s="40"/>
      <c r="H108" s="45"/>
      <c r="I108" s="83"/>
      <c r="J108" s="45"/>
      <c r="K108" s="40"/>
      <c r="L108" s="45"/>
      <c r="M108" s="83"/>
      <c r="N108" s="45"/>
      <c r="O108" s="40"/>
    </row>
    <row r="109" spans="1:15" x14ac:dyDescent="0.25">
      <c r="A109" s="72"/>
      <c r="B109" s="73"/>
      <c r="C109" s="55"/>
      <c r="D109" s="61"/>
      <c r="E109" s="72"/>
      <c r="F109" s="73"/>
      <c r="G109" s="55"/>
      <c r="H109" s="61"/>
      <c r="I109" s="72"/>
      <c r="J109" s="73"/>
      <c r="K109" s="55"/>
      <c r="L109" s="61"/>
      <c r="M109" s="72"/>
      <c r="N109" s="73"/>
      <c r="O109" s="55"/>
    </row>
    <row r="110" spans="1:15" x14ac:dyDescent="0.25">
      <c r="A110" s="72"/>
      <c r="B110" s="73"/>
      <c r="C110" s="55"/>
      <c r="D110" s="61"/>
      <c r="E110" s="72"/>
      <c r="F110" s="73"/>
      <c r="G110" s="55"/>
      <c r="H110" s="61"/>
      <c r="I110" s="72"/>
      <c r="J110" s="73"/>
      <c r="K110" s="55"/>
      <c r="L110" s="61"/>
      <c r="M110" s="72"/>
      <c r="N110" s="73"/>
      <c r="O110" s="55"/>
    </row>
    <row r="111" spans="1:15" x14ac:dyDescent="0.25">
      <c r="A111" s="72"/>
      <c r="B111" s="73"/>
      <c r="C111" s="55"/>
      <c r="D111" s="61"/>
      <c r="E111" s="72"/>
      <c r="F111" s="73"/>
      <c r="G111" s="55"/>
      <c r="H111" s="61"/>
      <c r="I111" s="72"/>
      <c r="J111" s="73"/>
      <c r="K111" s="55"/>
      <c r="L111" s="61"/>
      <c r="M111" s="72"/>
      <c r="N111" s="73"/>
      <c r="O111" s="55"/>
    </row>
    <row r="112" spans="1:15" x14ac:dyDescent="0.25">
      <c r="A112" s="72"/>
      <c r="B112" s="73"/>
      <c r="C112" s="55"/>
      <c r="D112" s="61"/>
      <c r="E112" s="72"/>
      <c r="F112" s="73"/>
      <c r="G112" s="55"/>
      <c r="H112" s="61"/>
      <c r="I112" s="72"/>
      <c r="J112" s="73"/>
      <c r="K112" s="55"/>
      <c r="L112" s="61"/>
      <c r="M112" s="72"/>
      <c r="N112" s="73"/>
      <c r="O112" s="55"/>
    </row>
    <row r="113" spans="1:15" x14ac:dyDescent="0.25">
      <c r="A113" s="72"/>
      <c r="B113" s="73"/>
      <c r="C113" s="55"/>
      <c r="D113" s="61"/>
      <c r="E113" s="72"/>
      <c r="F113" s="73"/>
      <c r="G113" s="55"/>
      <c r="H113" s="61"/>
      <c r="I113" s="72"/>
      <c r="J113" s="73"/>
      <c r="K113" s="55"/>
      <c r="L113" s="61"/>
      <c r="M113" s="72"/>
      <c r="N113" s="73"/>
      <c r="O113" s="55"/>
    </row>
    <row r="114" spans="1:15" ht="3" customHeight="1" x14ac:dyDescent="0.25">
      <c r="A114" s="82"/>
      <c r="B114" s="45"/>
      <c r="C114" s="38"/>
      <c r="D114" s="45"/>
      <c r="E114" s="82"/>
      <c r="F114" s="45"/>
      <c r="G114" s="38"/>
      <c r="H114" s="61"/>
      <c r="I114" s="82"/>
      <c r="J114" s="45"/>
      <c r="K114" s="38"/>
      <c r="L114" s="61"/>
      <c r="M114" s="82"/>
      <c r="N114" s="45"/>
      <c r="O114" s="38"/>
    </row>
    <row r="115" spans="1:15" ht="15.75" customHeight="1" x14ac:dyDescent="0.25">
      <c r="A115" s="74" t="s">
        <v>3</v>
      </c>
      <c r="B115" s="73" t="s">
        <v>110</v>
      </c>
      <c r="C115" s="57">
        <f>SUM(C109:C113)</f>
        <v>0</v>
      </c>
      <c r="D115" s="61"/>
      <c r="E115" s="74" t="s">
        <v>3</v>
      </c>
      <c r="F115" s="73" t="s">
        <v>110</v>
      </c>
      <c r="G115" s="57">
        <f>SUM(G109:G113)</f>
        <v>0</v>
      </c>
      <c r="H115" s="61"/>
      <c r="I115" s="74" t="s">
        <v>3</v>
      </c>
      <c r="J115" s="73" t="s">
        <v>110</v>
      </c>
      <c r="K115" s="57">
        <f>SUM(K109:K113)</f>
        <v>0</v>
      </c>
      <c r="L115" s="61"/>
      <c r="M115" s="74" t="s">
        <v>3</v>
      </c>
      <c r="N115" s="73" t="s">
        <v>110</v>
      </c>
      <c r="O115" s="57">
        <f>SUM(O109:O113)</f>
        <v>0</v>
      </c>
    </row>
    <row r="116" spans="1:15" ht="3" customHeight="1" x14ac:dyDescent="0.25">
      <c r="A116" s="82"/>
      <c r="B116" s="45"/>
      <c r="C116" s="44"/>
      <c r="D116" s="45"/>
      <c r="E116" s="82"/>
      <c r="F116" s="45"/>
      <c r="G116" s="44"/>
      <c r="H116" s="45"/>
      <c r="I116" s="82"/>
      <c r="J116" s="45"/>
      <c r="K116" s="44"/>
      <c r="L116" s="45"/>
      <c r="M116" s="82"/>
      <c r="N116" s="45"/>
      <c r="O116" s="44"/>
    </row>
    <row r="117" spans="1:15" ht="15.75" customHeight="1" x14ac:dyDescent="0.25">
      <c r="A117" s="75" t="s">
        <v>111</v>
      </c>
      <c r="B117" s="76">
        <f>B107</f>
        <v>45536</v>
      </c>
      <c r="C117" s="25">
        <f>C107+C115</f>
        <v>-7936.5599999999995</v>
      </c>
      <c r="D117" s="45"/>
      <c r="E117" s="75" t="s">
        <v>111</v>
      </c>
      <c r="F117" s="76">
        <f>F107</f>
        <v>45566</v>
      </c>
      <c r="G117" s="25">
        <f>G107+G115</f>
        <v>-9995.64</v>
      </c>
      <c r="H117" s="45"/>
      <c r="I117" s="75" t="s">
        <v>111</v>
      </c>
      <c r="J117" s="76">
        <f>J107</f>
        <v>45597</v>
      </c>
      <c r="K117" s="25">
        <f>K107+K115</f>
        <v>-12054.72</v>
      </c>
      <c r="L117" s="45"/>
      <c r="M117" s="75" t="s">
        <v>111</v>
      </c>
      <c r="N117" s="76">
        <f>N107</f>
        <v>45627</v>
      </c>
      <c r="O117" s="25">
        <f>O107+O115</f>
        <v>-14113.8</v>
      </c>
    </row>
    <row r="118" spans="1:15" ht="3" customHeight="1" x14ac:dyDescent="0.25">
      <c r="A118" s="82"/>
      <c r="B118" s="45"/>
      <c r="C118" s="44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</row>
    <row r="119" spans="1:15" x14ac:dyDescent="0.25">
      <c r="A119" s="77"/>
      <c r="B119" s="63" t="s">
        <v>112</v>
      </c>
      <c r="C119" s="64">
        <f>IF(C117&lt;0,C117*8%,0)</f>
        <v>-634.9248</v>
      </c>
      <c r="D119" s="61"/>
      <c r="E119" s="77"/>
      <c r="F119" s="63" t="s">
        <v>112</v>
      </c>
      <c r="G119" s="64">
        <f>IF(G117&lt;0,G117*8%,0)</f>
        <v>-799.65120000000002</v>
      </c>
      <c r="H119" s="61"/>
      <c r="I119" s="77"/>
      <c r="J119" s="63" t="s">
        <v>112</v>
      </c>
      <c r="K119" s="64">
        <f>IF(K117&lt;0,K117*8%,0)</f>
        <v>-964.37759999999992</v>
      </c>
      <c r="L119" s="61"/>
      <c r="M119" s="77"/>
      <c r="N119" s="63" t="s">
        <v>112</v>
      </c>
      <c r="O119" s="64">
        <f>IF(O117&lt;0,O117*8%,0)</f>
        <v>-1129.104</v>
      </c>
    </row>
  </sheetData>
  <mergeCells count="20">
    <mergeCell ref="A2:C2"/>
    <mergeCell ref="E2:G2"/>
    <mergeCell ref="I2:K2"/>
    <mergeCell ref="M2:O2"/>
    <mergeCell ref="A29:C29"/>
    <mergeCell ref="E29:G29"/>
    <mergeCell ref="I29:K29"/>
    <mergeCell ref="M29:O29"/>
    <mergeCell ref="A98:C98"/>
    <mergeCell ref="E98:G98"/>
    <mergeCell ref="I98:K98"/>
    <mergeCell ref="M98:O98"/>
    <mergeCell ref="A52:C52"/>
    <mergeCell ref="E52:G52"/>
    <mergeCell ref="I52:K52"/>
    <mergeCell ref="M52:O52"/>
    <mergeCell ref="A75:C75"/>
    <mergeCell ref="E75:G75"/>
    <mergeCell ref="I75:K75"/>
    <mergeCell ref="M75:O75"/>
  </mergeCells>
  <conditionalFormatting sqref="C6:C13">
    <cfRule type="expression" dxfId="531" priority="154">
      <formula>$D6&lt;&gt;""</formula>
    </cfRule>
  </conditionalFormatting>
  <conditionalFormatting sqref="A5:C5">
    <cfRule type="expression" dxfId="530" priority="156">
      <formula>$D5&lt;&gt;""</formula>
    </cfRule>
  </conditionalFormatting>
  <conditionalFormatting sqref="A6:B6">
    <cfRule type="expression" dxfId="529" priority="155">
      <formula>$D6&lt;&gt;""</formula>
    </cfRule>
  </conditionalFormatting>
  <conditionalFormatting sqref="C4">
    <cfRule type="expression" dxfId="528" priority="157">
      <formula>$D14&lt;&gt;""</formula>
    </cfRule>
  </conditionalFormatting>
  <conditionalFormatting sqref="C35">
    <cfRule type="expression" dxfId="527" priority="149">
      <formula>$D34&lt;&gt;""</formula>
    </cfRule>
  </conditionalFormatting>
  <conditionalFormatting sqref="C40:C44">
    <cfRule type="expression" dxfId="526" priority="152">
      <formula>$D40&lt;&gt;""</formula>
    </cfRule>
  </conditionalFormatting>
  <conditionalFormatting sqref="A32:C32">
    <cfRule type="expression" dxfId="525" priority="151">
      <formula>$D31&lt;&gt;""</formula>
    </cfRule>
  </conditionalFormatting>
  <conditionalFormatting sqref="A33:B33">
    <cfRule type="expression" dxfId="524" priority="150">
      <formula>$D32&lt;&gt;""</formula>
    </cfRule>
  </conditionalFormatting>
  <conditionalFormatting sqref="C33">
    <cfRule type="expression" dxfId="523" priority="148">
      <formula>$D32&lt;&gt;""</formula>
    </cfRule>
  </conditionalFormatting>
  <conditionalFormatting sqref="C34">
    <cfRule type="expression" dxfId="522" priority="147">
      <formula>$D33&lt;&gt;""</formula>
    </cfRule>
  </conditionalFormatting>
  <conditionalFormatting sqref="G35">
    <cfRule type="expression" dxfId="521" priority="142">
      <formula>$D34&lt;&gt;""</formula>
    </cfRule>
  </conditionalFormatting>
  <conditionalFormatting sqref="G40:G44">
    <cfRule type="expression" dxfId="520" priority="145">
      <formula>$D40&lt;&gt;""</formula>
    </cfRule>
  </conditionalFormatting>
  <conditionalFormatting sqref="E32:G32">
    <cfRule type="expression" dxfId="519" priority="144">
      <formula>$D31&lt;&gt;""</formula>
    </cfRule>
  </conditionalFormatting>
  <conditionalFormatting sqref="E33:F33">
    <cfRule type="expression" dxfId="518" priority="143">
      <formula>$D32&lt;&gt;""</formula>
    </cfRule>
  </conditionalFormatting>
  <conditionalFormatting sqref="G33">
    <cfRule type="expression" dxfId="517" priority="141">
      <formula>$D32&lt;&gt;""</formula>
    </cfRule>
  </conditionalFormatting>
  <conditionalFormatting sqref="G34">
    <cfRule type="expression" dxfId="516" priority="140">
      <formula>$D33&lt;&gt;""</formula>
    </cfRule>
  </conditionalFormatting>
  <conditionalFormatting sqref="G31">
    <cfRule type="expression" dxfId="515" priority="146">
      <formula>#REF!&lt;&gt;""</formula>
    </cfRule>
  </conditionalFormatting>
  <conditionalFormatting sqref="K35">
    <cfRule type="expression" dxfId="514" priority="135">
      <formula>$D34&lt;&gt;""</formula>
    </cfRule>
  </conditionalFormatting>
  <conditionalFormatting sqref="K40:K44">
    <cfRule type="expression" dxfId="513" priority="138">
      <formula>$D40&lt;&gt;""</formula>
    </cfRule>
  </conditionalFormatting>
  <conditionalFormatting sqref="I32:K32">
    <cfRule type="expression" dxfId="512" priority="137">
      <formula>$D31&lt;&gt;""</formula>
    </cfRule>
  </conditionalFormatting>
  <conditionalFormatting sqref="I33:J33">
    <cfRule type="expression" dxfId="511" priority="136">
      <formula>$D32&lt;&gt;""</formula>
    </cfRule>
  </conditionalFormatting>
  <conditionalFormatting sqref="K33">
    <cfRule type="expression" dxfId="510" priority="134">
      <formula>$D32&lt;&gt;""</formula>
    </cfRule>
  </conditionalFormatting>
  <conditionalFormatting sqref="K34">
    <cfRule type="expression" dxfId="509" priority="133">
      <formula>$D33&lt;&gt;""</formula>
    </cfRule>
  </conditionalFormatting>
  <conditionalFormatting sqref="K31">
    <cfRule type="expression" dxfId="508" priority="139">
      <formula>#REF!&lt;&gt;""</formula>
    </cfRule>
  </conditionalFormatting>
  <conditionalFormatting sqref="O35:O36">
    <cfRule type="expression" dxfId="507" priority="128">
      <formula>$D34&lt;&gt;""</formula>
    </cfRule>
  </conditionalFormatting>
  <conditionalFormatting sqref="O40:O44">
    <cfRule type="expression" dxfId="506" priority="131">
      <formula>$D40&lt;&gt;""</formula>
    </cfRule>
  </conditionalFormatting>
  <conditionalFormatting sqref="M32:O32">
    <cfRule type="expression" dxfId="505" priority="130">
      <formula>$D31&lt;&gt;""</formula>
    </cfRule>
  </conditionalFormatting>
  <conditionalFormatting sqref="M33:N33">
    <cfRule type="expression" dxfId="504" priority="129">
      <formula>$D32&lt;&gt;""</formula>
    </cfRule>
  </conditionalFormatting>
  <conditionalFormatting sqref="O33">
    <cfRule type="expression" dxfId="503" priority="127">
      <formula>$D32&lt;&gt;""</formula>
    </cfRule>
  </conditionalFormatting>
  <conditionalFormatting sqref="O34">
    <cfRule type="expression" dxfId="502" priority="126">
      <formula>$D33&lt;&gt;""</formula>
    </cfRule>
  </conditionalFormatting>
  <conditionalFormatting sqref="O31">
    <cfRule type="expression" dxfId="501" priority="132">
      <formula>#REF!&lt;&gt;""</formula>
    </cfRule>
  </conditionalFormatting>
  <conditionalFormatting sqref="C31">
    <cfRule type="expression" dxfId="500" priority="125">
      <formula>$D30&lt;&gt;""</formula>
    </cfRule>
  </conditionalFormatting>
  <conditionalFormatting sqref="K36">
    <cfRule type="expression" dxfId="499" priority="124">
      <formula>$D35&lt;&gt;""</formula>
    </cfRule>
  </conditionalFormatting>
  <conditionalFormatting sqref="G36">
    <cfRule type="expression" dxfId="498" priority="123">
      <formula>$D35&lt;&gt;""</formula>
    </cfRule>
  </conditionalFormatting>
  <conditionalFormatting sqref="C36">
    <cfRule type="expression" dxfId="497" priority="122">
      <formula>$D35&lt;&gt;""</formula>
    </cfRule>
  </conditionalFormatting>
  <conditionalFormatting sqref="C58">
    <cfRule type="expression" dxfId="496" priority="117">
      <formula>$D57&lt;&gt;""</formula>
    </cfRule>
  </conditionalFormatting>
  <conditionalFormatting sqref="C63:C67">
    <cfRule type="expression" dxfId="495" priority="120">
      <formula>$D63&lt;&gt;""</formula>
    </cfRule>
  </conditionalFormatting>
  <conditionalFormatting sqref="A55:C55">
    <cfRule type="expression" dxfId="494" priority="119">
      <formula>$D54&lt;&gt;""</formula>
    </cfRule>
  </conditionalFormatting>
  <conditionalFormatting sqref="A56:B56">
    <cfRule type="expression" dxfId="493" priority="118">
      <formula>$D55&lt;&gt;""</formula>
    </cfRule>
  </conditionalFormatting>
  <conditionalFormatting sqref="C56">
    <cfRule type="expression" dxfId="492" priority="116">
      <formula>$D55&lt;&gt;""</formula>
    </cfRule>
  </conditionalFormatting>
  <conditionalFormatting sqref="C57">
    <cfRule type="expression" dxfId="491" priority="115">
      <formula>$D56&lt;&gt;""</formula>
    </cfRule>
  </conditionalFormatting>
  <conditionalFormatting sqref="C54">
    <cfRule type="expression" dxfId="490" priority="121">
      <formula>#REF!&lt;&gt;""</formula>
    </cfRule>
  </conditionalFormatting>
  <conditionalFormatting sqref="G58">
    <cfRule type="expression" dxfId="489" priority="110">
      <formula>$D57&lt;&gt;""</formula>
    </cfRule>
  </conditionalFormatting>
  <conditionalFormatting sqref="G63:G67">
    <cfRule type="expression" dxfId="488" priority="113">
      <formula>$D63&lt;&gt;""</formula>
    </cfRule>
  </conditionalFormatting>
  <conditionalFormatting sqref="E55:G55">
    <cfRule type="expression" dxfId="487" priority="112">
      <formula>$D54&lt;&gt;""</formula>
    </cfRule>
  </conditionalFormatting>
  <conditionalFormatting sqref="E56:F56">
    <cfRule type="expression" dxfId="486" priority="111">
      <formula>$D55&lt;&gt;""</formula>
    </cfRule>
  </conditionalFormatting>
  <conditionalFormatting sqref="G56">
    <cfRule type="expression" dxfId="485" priority="109">
      <formula>$D55&lt;&gt;""</formula>
    </cfRule>
  </conditionalFormatting>
  <conditionalFormatting sqref="G57">
    <cfRule type="expression" dxfId="484" priority="108">
      <formula>$D56&lt;&gt;""</formula>
    </cfRule>
  </conditionalFormatting>
  <conditionalFormatting sqref="G54">
    <cfRule type="expression" dxfId="483" priority="114">
      <formula>#REF!&lt;&gt;""</formula>
    </cfRule>
  </conditionalFormatting>
  <conditionalFormatting sqref="K58">
    <cfRule type="expression" dxfId="482" priority="103">
      <formula>$D57&lt;&gt;""</formula>
    </cfRule>
  </conditionalFormatting>
  <conditionalFormatting sqref="K63:K67">
    <cfRule type="expression" dxfId="481" priority="106">
      <formula>$D63&lt;&gt;""</formula>
    </cfRule>
  </conditionalFormatting>
  <conditionalFormatting sqref="I55:K55">
    <cfRule type="expression" dxfId="480" priority="105">
      <formula>$D54&lt;&gt;""</formula>
    </cfRule>
  </conditionalFormatting>
  <conditionalFormatting sqref="I56:J56">
    <cfRule type="expression" dxfId="479" priority="104">
      <formula>$D55&lt;&gt;""</formula>
    </cfRule>
  </conditionalFormatting>
  <conditionalFormatting sqref="K56">
    <cfRule type="expression" dxfId="478" priority="102">
      <formula>$D55&lt;&gt;""</formula>
    </cfRule>
  </conditionalFormatting>
  <conditionalFormatting sqref="K57">
    <cfRule type="expression" dxfId="477" priority="101">
      <formula>$D56&lt;&gt;""</formula>
    </cfRule>
  </conditionalFormatting>
  <conditionalFormatting sqref="K54">
    <cfRule type="expression" dxfId="476" priority="107">
      <formula>#REF!&lt;&gt;""</formula>
    </cfRule>
  </conditionalFormatting>
  <conditionalFormatting sqref="O58">
    <cfRule type="expression" dxfId="475" priority="96">
      <formula>$D57&lt;&gt;""</formula>
    </cfRule>
  </conditionalFormatting>
  <conditionalFormatting sqref="O63:O67">
    <cfRule type="expression" dxfId="474" priority="99">
      <formula>$D63&lt;&gt;""</formula>
    </cfRule>
  </conditionalFormatting>
  <conditionalFormatting sqref="M55:O55">
    <cfRule type="expression" dxfId="473" priority="98">
      <formula>$D54&lt;&gt;""</formula>
    </cfRule>
  </conditionalFormatting>
  <conditionalFormatting sqref="M56:N56">
    <cfRule type="expression" dxfId="472" priority="97">
      <formula>$D55&lt;&gt;""</formula>
    </cfRule>
  </conditionalFormatting>
  <conditionalFormatting sqref="O56">
    <cfRule type="expression" dxfId="471" priority="95">
      <formula>$D55&lt;&gt;""</formula>
    </cfRule>
  </conditionalFormatting>
  <conditionalFormatting sqref="O57">
    <cfRule type="expression" dxfId="470" priority="94">
      <formula>$D56&lt;&gt;""</formula>
    </cfRule>
  </conditionalFormatting>
  <conditionalFormatting sqref="O54">
    <cfRule type="expression" dxfId="469" priority="100">
      <formula>#REF!&lt;&gt;""</formula>
    </cfRule>
  </conditionalFormatting>
  <conditionalFormatting sqref="C81">
    <cfRule type="expression" dxfId="468" priority="89">
      <formula>$D80&lt;&gt;""</formula>
    </cfRule>
  </conditionalFormatting>
  <conditionalFormatting sqref="C87:C90">
    <cfRule type="expression" dxfId="467" priority="92">
      <formula>$D87&lt;&gt;""</formula>
    </cfRule>
  </conditionalFormatting>
  <conditionalFormatting sqref="A78:C78">
    <cfRule type="expression" dxfId="466" priority="91">
      <formula>$D77&lt;&gt;""</formula>
    </cfRule>
  </conditionalFormatting>
  <conditionalFormatting sqref="A79:B79">
    <cfRule type="expression" dxfId="465" priority="90">
      <formula>$D78&lt;&gt;""</formula>
    </cfRule>
  </conditionalFormatting>
  <conditionalFormatting sqref="C79">
    <cfRule type="expression" dxfId="464" priority="88">
      <formula>$D78&lt;&gt;""</formula>
    </cfRule>
  </conditionalFormatting>
  <conditionalFormatting sqref="C80">
    <cfRule type="expression" dxfId="463" priority="87">
      <formula>$D79&lt;&gt;""</formula>
    </cfRule>
  </conditionalFormatting>
  <conditionalFormatting sqref="C77">
    <cfRule type="expression" dxfId="462" priority="93">
      <formula>#REF!&lt;&gt;""</formula>
    </cfRule>
  </conditionalFormatting>
  <conditionalFormatting sqref="G81">
    <cfRule type="expression" dxfId="461" priority="82">
      <formula>$D80&lt;&gt;""</formula>
    </cfRule>
  </conditionalFormatting>
  <conditionalFormatting sqref="G87:G90">
    <cfRule type="expression" dxfId="460" priority="85">
      <formula>$D87&lt;&gt;""</formula>
    </cfRule>
  </conditionalFormatting>
  <conditionalFormatting sqref="E78:G78">
    <cfRule type="expression" dxfId="459" priority="84">
      <formula>$D77&lt;&gt;""</formula>
    </cfRule>
  </conditionalFormatting>
  <conditionalFormatting sqref="E79:F79">
    <cfRule type="expression" dxfId="458" priority="83">
      <formula>$D78&lt;&gt;""</formula>
    </cfRule>
  </conditionalFormatting>
  <conditionalFormatting sqref="G79">
    <cfRule type="expression" dxfId="457" priority="81">
      <formula>$D78&lt;&gt;""</formula>
    </cfRule>
  </conditionalFormatting>
  <conditionalFormatting sqref="G80">
    <cfRule type="expression" dxfId="456" priority="80">
      <formula>$D79&lt;&gt;""</formula>
    </cfRule>
  </conditionalFormatting>
  <conditionalFormatting sqref="G77">
    <cfRule type="expression" dxfId="455" priority="86">
      <formula>#REF!&lt;&gt;""</formula>
    </cfRule>
  </conditionalFormatting>
  <conditionalFormatting sqref="K81">
    <cfRule type="expression" dxfId="454" priority="75">
      <formula>$D80&lt;&gt;""</formula>
    </cfRule>
  </conditionalFormatting>
  <conditionalFormatting sqref="K87:K90">
    <cfRule type="expression" dxfId="453" priority="78">
      <formula>$D87&lt;&gt;""</formula>
    </cfRule>
  </conditionalFormatting>
  <conditionalFormatting sqref="I78:K78">
    <cfRule type="expression" dxfId="452" priority="77">
      <formula>$D77&lt;&gt;""</formula>
    </cfRule>
  </conditionalFormatting>
  <conditionalFormatting sqref="I79:J79">
    <cfRule type="expression" dxfId="451" priority="76">
      <formula>$D78&lt;&gt;""</formula>
    </cfRule>
  </conditionalFormatting>
  <conditionalFormatting sqref="K79">
    <cfRule type="expression" dxfId="450" priority="74">
      <formula>$D78&lt;&gt;""</formula>
    </cfRule>
  </conditionalFormatting>
  <conditionalFormatting sqref="K80">
    <cfRule type="expression" dxfId="449" priority="73">
      <formula>$D79&lt;&gt;""</formula>
    </cfRule>
  </conditionalFormatting>
  <conditionalFormatting sqref="K77">
    <cfRule type="expression" dxfId="448" priority="79">
      <formula>#REF!&lt;&gt;""</formula>
    </cfRule>
  </conditionalFormatting>
  <conditionalFormatting sqref="O81">
    <cfRule type="expression" dxfId="447" priority="68">
      <formula>$D80&lt;&gt;""</formula>
    </cfRule>
  </conditionalFormatting>
  <conditionalFormatting sqref="O86:O90">
    <cfRule type="expression" dxfId="446" priority="71">
      <formula>$D86&lt;&gt;""</formula>
    </cfRule>
  </conditionalFormatting>
  <conditionalFormatting sqref="M78:O78">
    <cfRule type="expression" dxfId="445" priority="70">
      <formula>$D77&lt;&gt;""</formula>
    </cfRule>
  </conditionalFormatting>
  <conditionalFormatting sqref="M79:N79">
    <cfRule type="expression" dxfId="444" priority="69">
      <formula>$D78&lt;&gt;""</formula>
    </cfRule>
  </conditionalFormatting>
  <conditionalFormatting sqref="O79">
    <cfRule type="expression" dxfId="443" priority="67">
      <formula>$D78&lt;&gt;""</formula>
    </cfRule>
  </conditionalFormatting>
  <conditionalFormatting sqref="O80">
    <cfRule type="expression" dxfId="442" priority="66">
      <formula>$D79&lt;&gt;""</formula>
    </cfRule>
  </conditionalFormatting>
  <conditionalFormatting sqref="O77">
    <cfRule type="expression" dxfId="441" priority="72">
      <formula>#REF!&lt;&gt;""</formula>
    </cfRule>
  </conditionalFormatting>
  <conditionalFormatting sqref="C104:C105">
    <cfRule type="expression" dxfId="440" priority="61">
      <formula>$D103&lt;&gt;""</formula>
    </cfRule>
  </conditionalFormatting>
  <conditionalFormatting sqref="C109:C113">
    <cfRule type="expression" dxfId="439" priority="64">
      <formula>$D109&lt;&gt;""</formula>
    </cfRule>
  </conditionalFormatting>
  <conditionalFormatting sqref="A101:C101">
    <cfRule type="expression" dxfId="438" priority="63">
      <formula>$D100&lt;&gt;""</formula>
    </cfRule>
  </conditionalFormatting>
  <conditionalFormatting sqref="A102:B102">
    <cfRule type="expression" dxfId="437" priority="62">
      <formula>$D101&lt;&gt;""</formula>
    </cfRule>
  </conditionalFormatting>
  <conditionalFormatting sqref="C102">
    <cfRule type="expression" dxfId="436" priority="60">
      <formula>$D101&lt;&gt;""</formula>
    </cfRule>
  </conditionalFormatting>
  <conditionalFormatting sqref="C103">
    <cfRule type="expression" dxfId="435" priority="59">
      <formula>$D102&lt;&gt;""</formula>
    </cfRule>
  </conditionalFormatting>
  <conditionalFormatting sqref="C100">
    <cfRule type="expression" dxfId="434" priority="65">
      <formula>#REF!&lt;&gt;""</formula>
    </cfRule>
  </conditionalFormatting>
  <conditionalFormatting sqref="G104:G105">
    <cfRule type="expression" dxfId="433" priority="54">
      <formula>$D103&lt;&gt;""</formula>
    </cfRule>
  </conditionalFormatting>
  <conditionalFormatting sqref="G109:G113">
    <cfRule type="expression" dxfId="432" priority="57">
      <formula>$D109&lt;&gt;""</formula>
    </cfRule>
  </conditionalFormatting>
  <conditionalFormatting sqref="E101:G101">
    <cfRule type="expression" dxfId="431" priority="56">
      <formula>$D100&lt;&gt;""</formula>
    </cfRule>
  </conditionalFormatting>
  <conditionalFormatting sqref="E102:F102">
    <cfRule type="expression" dxfId="430" priority="55">
      <formula>$D101&lt;&gt;""</formula>
    </cfRule>
  </conditionalFormatting>
  <conditionalFormatting sqref="G102">
    <cfRule type="expression" dxfId="429" priority="53">
      <formula>$D101&lt;&gt;""</formula>
    </cfRule>
  </conditionalFormatting>
  <conditionalFormatting sqref="G103">
    <cfRule type="expression" dxfId="428" priority="52">
      <formula>$D102&lt;&gt;""</formula>
    </cfRule>
  </conditionalFormatting>
  <conditionalFormatting sqref="G100">
    <cfRule type="expression" dxfId="427" priority="58">
      <formula>#REF!&lt;&gt;""</formula>
    </cfRule>
  </conditionalFormatting>
  <conditionalFormatting sqref="K104:K105">
    <cfRule type="expression" dxfId="426" priority="47">
      <formula>$D103&lt;&gt;""</formula>
    </cfRule>
  </conditionalFormatting>
  <conditionalFormatting sqref="K109:K113">
    <cfRule type="expression" dxfId="425" priority="50">
      <formula>$D109&lt;&gt;""</formula>
    </cfRule>
  </conditionalFormatting>
  <conditionalFormatting sqref="I101:K101">
    <cfRule type="expression" dxfId="424" priority="49">
      <formula>$D100&lt;&gt;""</formula>
    </cfRule>
  </conditionalFormatting>
  <conditionalFormatting sqref="I102:J102">
    <cfRule type="expression" dxfId="423" priority="48">
      <formula>$D101&lt;&gt;""</formula>
    </cfRule>
  </conditionalFormatting>
  <conditionalFormatting sqref="K102">
    <cfRule type="expression" dxfId="422" priority="46">
      <formula>$D101&lt;&gt;""</formula>
    </cfRule>
  </conditionalFormatting>
  <conditionalFormatting sqref="K103">
    <cfRule type="expression" dxfId="421" priority="45">
      <formula>$D102&lt;&gt;""</formula>
    </cfRule>
  </conditionalFormatting>
  <conditionalFormatting sqref="K100">
    <cfRule type="expression" dxfId="420" priority="51">
      <formula>#REF!&lt;&gt;""</formula>
    </cfRule>
  </conditionalFormatting>
  <conditionalFormatting sqref="O104:O105">
    <cfRule type="expression" dxfId="419" priority="40">
      <formula>$D103&lt;&gt;""</formula>
    </cfRule>
  </conditionalFormatting>
  <conditionalFormatting sqref="O109:O113">
    <cfRule type="expression" dxfId="418" priority="43">
      <formula>$D109&lt;&gt;""</formula>
    </cfRule>
  </conditionalFormatting>
  <conditionalFormatting sqref="M101:O101">
    <cfRule type="expression" dxfId="417" priority="42">
      <formula>$D100&lt;&gt;""</formula>
    </cfRule>
  </conditionalFormatting>
  <conditionalFormatting sqref="M102:N102">
    <cfRule type="expression" dxfId="416" priority="41">
      <formula>$D101&lt;&gt;""</formula>
    </cfRule>
  </conditionalFormatting>
  <conditionalFormatting sqref="O102">
    <cfRule type="expression" dxfId="415" priority="39">
      <formula>$D101&lt;&gt;""</formula>
    </cfRule>
  </conditionalFormatting>
  <conditionalFormatting sqref="O103">
    <cfRule type="expression" dxfId="414" priority="38">
      <formula>$D102&lt;&gt;""</formula>
    </cfRule>
  </conditionalFormatting>
  <conditionalFormatting sqref="O100">
    <cfRule type="expression" dxfId="413" priority="44">
      <formula>#REF!&lt;&gt;""</formula>
    </cfRule>
  </conditionalFormatting>
  <conditionalFormatting sqref="G6:G12">
    <cfRule type="expression" dxfId="412" priority="34">
      <formula>$D6&lt;&gt;""</formula>
    </cfRule>
  </conditionalFormatting>
  <conditionalFormatting sqref="E5:G5">
    <cfRule type="expression" dxfId="411" priority="36">
      <formula>$D5&lt;&gt;""</formula>
    </cfRule>
  </conditionalFormatting>
  <conditionalFormatting sqref="E6:F6">
    <cfRule type="expression" dxfId="410" priority="35">
      <formula>$D6&lt;&gt;""</formula>
    </cfRule>
  </conditionalFormatting>
  <conditionalFormatting sqref="G4">
    <cfRule type="expression" dxfId="409" priority="37">
      <formula>$D14&lt;&gt;""</formula>
    </cfRule>
  </conditionalFormatting>
  <conditionalFormatting sqref="K6:K12">
    <cfRule type="expression" dxfId="408" priority="29">
      <formula>$D6&lt;&gt;""</formula>
    </cfRule>
  </conditionalFormatting>
  <conditionalFormatting sqref="I5:K5">
    <cfRule type="expression" dxfId="407" priority="31">
      <formula>$D5&lt;&gt;""</formula>
    </cfRule>
  </conditionalFormatting>
  <conditionalFormatting sqref="I6:J6">
    <cfRule type="expression" dxfId="406" priority="30">
      <formula>$D6&lt;&gt;""</formula>
    </cfRule>
  </conditionalFormatting>
  <conditionalFormatting sqref="K4">
    <cfRule type="expression" dxfId="405" priority="32">
      <formula>$D14&lt;&gt;""</formula>
    </cfRule>
  </conditionalFormatting>
  <conditionalFormatting sqref="O6:O12">
    <cfRule type="expression" dxfId="404" priority="24">
      <formula>$D6&lt;&gt;""</formula>
    </cfRule>
  </conditionalFormatting>
  <conditionalFormatting sqref="M5:O5">
    <cfRule type="expression" dxfId="403" priority="26">
      <formula>$D5&lt;&gt;""</formula>
    </cfRule>
  </conditionalFormatting>
  <conditionalFormatting sqref="M6:N6">
    <cfRule type="expression" dxfId="402" priority="25">
      <formula>$D6&lt;&gt;""</formula>
    </cfRule>
  </conditionalFormatting>
  <conditionalFormatting sqref="O4">
    <cfRule type="expression" dxfId="401" priority="27">
      <formula>$D14&lt;&gt;""</formula>
    </cfRule>
  </conditionalFormatting>
  <conditionalFormatting sqref="C59">
    <cfRule type="expression" dxfId="400" priority="22">
      <formula>$D58&lt;&gt;""</formula>
    </cfRule>
  </conditionalFormatting>
  <conditionalFormatting sqref="G13">
    <cfRule type="expression" dxfId="399" priority="21">
      <formula>$D12&lt;&gt;""</formula>
    </cfRule>
  </conditionalFormatting>
  <conditionalFormatting sqref="K13">
    <cfRule type="expression" dxfId="398" priority="20">
      <formula>$D12&lt;&gt;""</formula>
    </cfRule>
  </conditionalFormatting>
  <conditionalFormatting sqref="O13">
    <cfRule type="expression" dxfId="397" priority="19">
      <formula>$D12&lt;&gt;""</formula>
    </cfRule>
  </conditionalFormatting>
  <conditionalFormatting sqref="G59">
    <cfRule type="expression" dxfId="396" priority="18">
      <formula>$D58&lt;&gt;""</formula>
    </cfRule>
  </conditionalFormatting>
  <conditionalFormatting sqref="K59">
    <cfRule type="expression" dxfId="395" priority="17">
      <formula>$D58&lt;&gt;""</formula>
    </cfRule>
  </conditionalFormatting>
  <conditionalFormatting sqref="O59">
    <cfRule type="expression" dxfId="394" priority="16">
      <formula>$D58&lt;&gt;""</formula>
    </cfRule>
  </conditionalFormatting>
  <conditionalFormatting sqref="C82">
    <cfRule type="expression" dxfId="393" priority="15">
      <formula>$D81&lt;&gt;""</formula>
    </cfRule>
  </conditionalFormatting>
  <conditionalFormatting sqref="G82">
    <cfRule type="expression" dxfId="392" priority="14">
      <formula>$D81&lt;&gt;""</formula>
    </cfRule>
  </conditionalFormatting>
  <conditionalFormatting sqref="K82">
    <cfRule type="expression" dxfId="391" priority="13">
      <formula>$D81&lt;&gt;""</formula>
    </cfRule>
  </conditionalFormatting>
  <conditionalFormatting sqref="O82">
    <cfRule type="expression" dxfId="390" priority="12">
      <formula>$D81&lt;&gt;""</formula>
    </cfRule>
  </conditionalFormatting>
  <conditionalFormatting sqref="K86">
    <cfRule type="expression" dxfId="389" priority="8">
      <formula>$D86&lt;&gt;""</formula>
    </cfRule>
  </conditionalFormatting>
  <conditionalFormatting sqref="G86">
    <cfRule type="expression" dxfId="388" priority="7">
      <formula>$D86&lt;&gt;""</formula>
    </cfRule>
  </conditionalFormatting>
  <conditionalFormatting sqref="C86">
    <cfRule type="expression" dxfId="387" priority="6">
      <formula>$D86&lt;&gt;""</formula>
    </cfRule>
  </conditionalFormatting>
  <conditionalFormatting sqref="C17:C21">
    <cfRule type="expression" dxfId="386" priority="4">
      <formula>$D17&lt;&gt;""</formula>
    </cfRule>
  </conditionalFormatting>
  <conditionalFormatting sqref="G17:G21">
    <cfRule type="expression" dxfId="385" priority="3">
      <formula>$D17&lt;&gt;""</formula>
    </cfRule>
  </conditionalFormatting>
  <conditionalFormatting sqref="K17:K21">
    <cfRule type="expression" dxfId="384" priority="2">
      <formula>$D17&lt;&gt;""</formula>
    </cfRule>
  </conditionalFormatting>
  <conditionalFormatting sqref="O17:O21">
    <cfRule type="expression" dxfId="383" priority="1">
      <formula>$D17&lt;&gt;""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54C1-C28A-4B31-B0BC-373C32DC6BE0}">
  <sheetPr codeName="Planilha13"/>
  <dimension ref="A1:P119"/>
  <sheetViews>
    <sheetView showGridLines="0" zoomScale="80" zoomScaleNormal="80" workbookViewId="0">
      <selection activeCell="N110" sqref="N110"/>
    </sheetView>
  </sheetViews>
  <sheetFormatPr defaultColWidth="9.140625" defaultRowHeight="15" x14ac:dyDescent="0.25"/>
  <cols>
    <col min="1" max="1" width="10.28515625" style="2" bestFit="1" customWidth="1"/>
    <col min="2" max="2" width="29.5703125" style="2" bestFit="1" customWidth="1"/>
    <col min="3" max="3" width="13.5703125" style="2" bestFit="1" customWidth="1"/>
    <col min="4" max="4" width="2.42578125" style="2" customWidth="1"/>
    <col min="5" max="5" width="10.28515625" style="2" bestFit="1" customWidth="1"/>
    <col min="6" max="6" width="29.28515625" style="2" bestFit="1" customWidth="1"/>
    <col min="7" max="7" width="13.5703125" style="2" bestFit="1" customWidth="1"/>
    <col min="8" max="8" width="2.7109375" style="2" customWidth="1"/>
    <col min="9" max="9" width="10.28515625" style="2" bestFit="1" customWidth="1"/>
    <col min="10" max="10" width="29.28515625" style="2" bestFit="1" customWidth="1"/>
    <col min="11" max="11" width="15" style="2" bestFit="1" customWidth="1"/>
    <col min="12" max="12" width="2.5703125" style="2" customWidth="1"/>
    <col min="13" max="13" width="10.28515625" style="2" bestFit="1" customWidth="1"/>
    <col min="14" max="14" width="30.140625" style="2" bestFit="1" customWidth="1"/>
    <col min="15" max="15" width="15" style="2" bestFit="1" customWidth="1"/>
    <col min="16" max="16" width="12.28515625" style="2" bestFit="1" customWidth="1"/>
    <col min="17" max="16384" width="9.140625" style="2"/>
  </cols>
  <sheetData>
    <row r="1" spans="1:15" ht="3" customHeight="1" x14ac:dyDescent="0.25"/>
    <row r="2" spans="1:15" ht="20.25" customHeight="1" x14ac:dyDescent="0.3">
      <c r="A2" s="112" t="str">
        <f>UPPER(TEXT(A4,"mmmm")&amp;" "&amp;TEXT(A4,"aaaa"))</f>
        <v>MAIO 2023</v>
      </c>
      <c r="B2" s="113"/>
      <c r="C2" s="113"/>
      <c r="D2" s="61"/>
      <c r="E2" s="112" t="str">
        <f>UPPER(TEXT(E4,"mmmm")&amp;" "&amp;TEXT(E4,"aaaa"))</f>
        <v>JUNHO 2023</v>
      </c>
      <c r="F2" s="113"/>
      <c r="G2" s="113"/>
      <c r="H2" s="61"/>
      <c r="I2" s="112" t="str">
        <f>UPPER(TEXT(I4,"mmmm")&amp;" "&amp;TEXT(I4,"aaaa"))</f>
        <v>JULHO 2023</v>
      </c>
      <c r="J2" s="113"/>
      <c r="K2" s="113"/>
      <c r="L2" s="61"/>
      <c r="M2" s="112" t="str">
        <f>UPPER(TEXT(M4,"mmmm")&amp;" "&amp;TEXT(M4,"aaaa"))</f>
        <v>AGOSTO 2023</v>
      </c>
      <c r="N2" s="113"/>
      <c r="O2" s="113"/>
    </row>
    <row r="3" spans="1:15" x14ac:dyDescent="0.25">
      <c r="A3" s="47" t="s">
        <v>97</v>
      </c>
      <c r="B3" s="48" t="s">
        <v>98</v>
      </c>
      <c r="C3" s="49" t="s">
        <v>99</v>
      </c>
      <c r="D3" s="61"/>
      <c r="E3" s="47" t="s">
        <v>97</v>
      </c>
      <c r="F3" s="48" t="s">
        <v>98</v>
      </c>
      <c r="G3" s="49" t="s">
        <v>99</v>
      </c>
      <c r="H3" s="61"/>
      <c r="I3" s="47" t="s">
        <v>97</v>
      </c>
      <c r="J3" s="48" t="s">
        <v>98</v>
      </c>
      <c r="K3" s="49" t="s">
        <v>99</v>
      </c>
      <c r="L3" s="61"/>
      <c r="M3" s="47" t="s">
        <v>97</v>
      </c>
      <c r="N3" s="48" t="s">
        <v>98</v>
      </c>
      <c r="O3" s="49" t="s">
        <v>99</v>
      </c>
    </row>
    <row r="4" spans="1:15" x14ac:dyDescent="0.25">
      <c r="A4" s="66">
        <v>45047</v>
      </c>
      <c r="B4" s="67" t="s">
        <v>113</v>
      </c>
      <c r="C4" s="32">
        <v>-500</v>
      </c>
      <c r="D4" s="61"/>
      <c r="E4" s="66">
        <v>45078</v>
      </c>
      <c r="F4" s="67" t="s">
        <v>113</v>
      </c>
      <c r="G4" s="32">
        <f>C25</f>
        <v>29.059999999999491</v>
      </c>
      <c r="H4" s="61"/>
      <c r="I4" s="66">
        <v>45108</v>
      </c>
      <c r="J4" s="67" t="s">
        <v>113</v>
      </c>
      <c r="K4" s="32">
        <f>G25</f>
        <v>-1352.8900000000012</v>
      </c>
      <c r="L4" s="61"/>
      <c r="M4" s="66">
        <v>45139</v>
      </c>
      <c r="N4" s="67" t="s">
        <v>113</v>
      </c>
      <c r="O4" s="32">
        <f>K25</f>
        <v>-899.07120000000214</v>
      </c>
    </row>
    <row r="5" spans="1:15" x14ac:dyDescent="0.25">
      <c r="A5" s="66">
        <v>45075</v>
      </c>
      <c r="B5" s="67" t="s">
        <v>114</v>
      </c>
      <c r="C5" s="32">
        <v>-2762.92</v>
      </c>
      <c r="D5" s="61"/>
      <c r="E5" s="66">
        <v>45107</v>
      </c>
      <c r="F5" s="67" t="s">
        <v>42</v>
      </c>
      <c r="G5" s="32">
        <v>-2060.08</v>
      </c>
      <c r="H5" s="61"/>
      <c r="I5" s="66">
        <v>45136</v>
      </c>
      <c r="J5" s="67" t="s">
        <v>43</v>
      </c>
      <c r="K5" s="32">
        <v>-2060.08</v>
      </c>
      <c r="L5" s="61"/>
      <c r="M5" s="66">
        <v>45167</v>
      </c>
      <c r="N5" s="67" t="s">
        <v>44</v>
      </c>
      <c r="O5" s="32">
        <v>-2060.08</v>
      </c>
    </row>
    <row r="6" spans="1:15" x14ac:dyDescent="0.25">
      <c r="A6" s="66">
        <v>45076</v>
      </c>
      <c r="B6" s="67" t="s">
        <v>115</v>
      </c>
      <c r="C6" s="32">
        <v>-2060.08</v>
      </c>
      <c r="D6" s="61"/>
      <c r="E6" s="66">
        <v>45106</v>
      </c>
      <c r="F6" s="67" t="s">
        <v>88</v>
      </c>
      <c r="G6" s="32">
        <v>-2762.92</v>
      </c>
      <c r="H6" s="61"/>
      <c r="I6" s="66">
        <v>45137</v>
      </c>
      <c r="J6" s="67" t="s">
        <v>89</v>
      </c>
      <c r="K6" s="32">
        <v>-2762.92</v>
      </c>
      <c r="L6" s="61"/>
      <c r="M6" s="66">
        <v>45168</v>
      </c>
      <c r="N6" s="67" t="s">
        <v>90</v>
      </c>
      <c r="O6" s="32">
        <v>-2762.92</v>
      </c>
    </row>
    <row r="7" spans="1:15" x14ac:dyDescent="0.25">
      <c r="A7" s="66">
        <v>45046</v>
      </c>
      <c r="B7" s="67" t="s">
        <v>116</v>
      </c>
      <c r="C7" s="32">
        <v>-33.340000000000003</v>
      </c>
      <c r="D7" s="61"/>
      <c r="E7" s="66">
        <v>45078</v>
      </c>
      <c r="F7" s="67" t="s">
        <v>117</v>
      </c>
      <c r="G7" s="32">
        <v>-387.81</v>
      </c>
      <c r="H7" s="61"/>
      <c r="I7" s="66">
        <v>45108</v>
      </c>
      <c r="J7" s="67" t="s">
        <v>118</v>
      </c>
      <c r="K7" s="32">
        <v>-387.81</v>
      </c>
      <c r="L7" s="61"/>
      <c r="M7" s="66">
        <v>45139</v>
      </c>
      <c r="N7" s="67" t="s">
        <v>119</v>
      </c>
      <c r="O7" s="32">
        <v>-356.08</v>
      </c>
    </row>
    <row r="8" spans="1:15" x14ac:dyDescent="0.25">
      <c r="A8" s="66">
        <v>45046</v>
      </c>
      <c r="B8" s="67" t="s">
        <v>120</v>
      </c>
      <c r="C8" s="32">
        <v>-170</v>
      </c>
      <c r="D8" s="61"/>
      <c r="E8" s="66">
        <v>45079</v>
      </c>
      <c r="F8" s="67" t="s">
        <v>117</v>
      </c>
      <c r="G8" s="32">
        <v>-581.72</v>
      </c>
      <c r="H8" s="61"/>
      <c r="I8" s="66">
        <v>45109</v>
      </c>
      <c r="J8" s="67" t="s">
        <v>118</v>
      </c>
      <c r="K8" s="32">
        <v>-581.72</v>
      </c>
      <c r="L8" s="61"/>
      <c r="M8" s="66"/>
      <c r="N8" s="67"/>
      <c r="O8" s="32"/>
    </row>
    <row r="9" spans="1:15" x14ac:dyDescent="0.25">
      <c r="A9" s="66">
        <v>45046</v>
      </c>
      <c r="B9" s="67" t="s">
        <v>121</v>
      </c>
      <c r="C9" s="32">
        <f>-99</f>
        <v>-99</v>
      </c>
      <c r="D9" s="61"/>
      <c r="E9" s="66">
        <v>45078</v>
      </c>
      <c r="F9" s="67" t="s">
        <v>122</v>
      </c>
      <c r="G9" s="32">
        <v>-356.08</v>
      </c>
      <c r="H9" s="61"/>
      <c r="I9" s="66">
        <v>45108</v>
      </c>
      <c r="J9" s="67" t="s">
        <v>123</v>
      </c>
      <c r="K9" s="32">
        <v>-356.08</v>
      </c>
      <c r="L9" s="61"/>
      <c r="M9" s="66"/>
      <c r="N9" s="67"/>
      <c r="O9" s="32"/>
    </row>
    <row r="10" spans="1:15" x14ac:dyDescent="0.25">
      <c r="A10" s="66">
        <v>45047</v>
      </c>
      <c r="B10" s="67" t="s">
        <v>124</v>
      </c>
      <c r="C10" s="32">
        <v>-387.81</v>
      </c>
      <c r="D10" s="61"/>
      <c r="E10" s="66">
        <v>45076</v>
      </c>
      <c r="F10" s="67" t="s">
        <v>125</v>
      </c>
      <c r="G10" s="32">
        <v>-33.340000000000003</v>
      </c>
      <c r="H10" s="61"/>
      <c r="I10" s="66">
        <v>45107</v>
      </c>
      <c r="J10" s="67" t="s">
        <v>126</v>
      </c>
      <c r="K10" s="32">
        <v>-33.340000000000003</v>
      </c>
      <c r="L10" s="61"/>
      <c r="M10" s="66"/>
      <c r="N10" s="67"/>
      <c r="O10" s="32"/>
    </row>
    <row r="11" spans="1:15" x14ac:dyDescent="0.25">
      <c r="A11" s="66">
        <v>45047</v>
      </c>
      <c r="B11" s="67" t="s">
        <v>127</v>
      </c>
      <c r="C11" s="32">
        <v>-356.08</v>
      </c>
      <c r="D11" s="45"/>
      <c r="E11" s="66"/>
      <c r="F11" s="67"/>
      <c r="G11" s="32"/>
      <c r="H11" s="45"/>
      <c r="I11" s="66"/>
      <c r="J11" s="67"/>
      <c r="K11" s="32"/>
      <c r="L11" s="45"/>
      <c r="M11" s="66"/>
      <c r="N11" s="67"/>
      <c r="O11" s="32"/>
    </row>
    <row r="12" spans="1:15" x14ac:dyDescent="0.25">
      <c r="A12" s="66">
        <v>45047</v>
      </c>
      <c r="B12" s="67" t="s">
        <v>128</v>
      </c>
      <c r="C12" s="32">
        <v>-19.989999999999998</v>
      </c>
      <c r="D12" s="61"/>
      <c r="E12" s="66"/>
      <c r="F12" s="67"/>
      <c r="G12" s="32"/>
      <c r="H12" s="61"/>
      <c r="I12" s="66"/>
      <c r="J12" s="67"/>
      <c r="K12" s="32"/>
      <c r="L12" s="61"/>
      <c r="M12" s="66"/>
      <c r="N12" s="67"/>
      <c r="O12" s="32"/>
    </row>
    <row r="13" spans="1:15" x14ac:dyDescent="0.25">
      <c r="A13" s="66">
        <v>45048</v>
      </c>
      <c r="B13" s="67" t="s">
        <v>124</v>
      </c>
      <c r="C13" s="32">
        <v>-581.72</v>
      </c>
      <c r="D13" s="61"/>
      <c r="E13" s="66" t="str">
        <f>IF(C27&lt;0,E4,"")</f>
        <v/>
      </c>
      <c r="F13" s="67" t="str">
        <f>IF(C27&lt;0,"Juros 8% Mês "&amp;A2,"")</f>
        <v/>
      </c>
      <c r="G13" s="32">
        <f>C27</f>
        <v>0</v>
      </c>
      <c r="H13" s="61"/>
      <c r="I13" s="66">
        <f>IF(G27&lt;0,I4,"")</f>
        <v>45108</v>
      </c>
      <c r="J13" s="67" t="str">
        <f>IF(G27&lt;0,"Juros 8% Mês "&amp;E2,"")</f>
        <v>Juros 8% Mês JUNHO 2023</v>
      </c>
      <c r="K13" s="32">
        <f>G27</f>
        <v>-108.2312000000001</v>
      </c>
      <c r="L13" s="61"/>
      <c r="M13" s="66">
        <f>IF(K27&lt;0,M4,"")</f>
        <v>45139</v>
      </c>
      <c r="N13" s="67" t="str">
        <f>IF(K27&lt;0,"Juros 8% Mês "&amp;I2,"")</f>
        <v>Juros 8% Mês JULHO 2023</v>
      </c>
      <c r="O13" s="32">
        <f>K27</f>
        <v>-71.925696000000173</v>
      </c>
    </row>
    <row r="14" spans="1:15" ht="3" customHeight="1" x14ac:dyDescent="0.25">
      <c r="A14" s="47"/>
      <c r="B14" s="61"/>
      <c r="C14" s="42"/>
      <c r="D14" s="61"/>
      <c r="E14" s="47"/>
      <c r="F14" s="61"/>
      <c r="G14" s="42"/>
      <c r="H14" s="61"/>
      <c r="I14" s="47"/>
      <c r="J14" s="61"/>
      <c r="K14" s="42"/>
      <c r="L14" s="61"/>
      <c r="M14" s="47"/>
      <c r="N14" s="61"/>
      <c r="O14" s="42"/>
    </row>
    <row r="15" spans="1:15" ht="15.75" customHeight="1" x14ac:dyDescent="0.25">
      <c r="A15" s="68" t="s">
        <v>109</v>
      </c>
      <c r="B15" s="69">
        <f>A4</f>
        <v>45047</v>
      </c>
      <c r="C15" s="52">
        <f>SUM(C4:C13)</f>
        <v>-6970.9400000000005</v>
      </c>
      <c r="D15" s="45"/>
      <c r="E15" s="68" t="s">
        <v>109</v>
      </c>
      <c r="F15" s="69">
        <f>E4</f>
        <v>45078</v>
      </c>
      <c r="G15" s="52">
        <f>SUM(G4:G13)</f>
        <v>-6152.8900000000012</v>
      </c>
      <c r="H15" s="45"/>
      <c r="I15" s="68" t="s">
        <v>109</v>
      </c>
      <c r="J15" s="69">
        <f>I4</f>
        <v>45108</v>
      </c>
      <c r="K15" s="52">
        <f>SUM(K4:K13)</f>
        <v>-7643.0712000000021</v>
      </c>
      <c r="L15" s="45"/>
      <c r="M15" s="68" t="s">
        <v>109</v>
      </c>
      <c r="N15" s="69">
        <f>M4</f>
        <v>45139</v>
      </c>
      <c r="O15" s="52">
        <f>SUM(O4:O13)</f>
        <v>-6150.0768960000023</v>
      </c>
    </row>
    <row r="16" spans="1:15" ht="3" customHeight="1" x14ac:dyDescent="0.25">
      <c r="A16" s="48"/>
      <c r="B16" s="61"/>
      <c r="C16" s="43"/>
      <c r="D16" s="61"/>
      <c r="E16" s="48"/>
      <c r="F16" s="61"/>
      <c r="G16" s="43"/>
      <c r="H16" s="61"/>
      <c r="I16" s="48"/>
      <c r="J16" s="61"/>
      <c r="K16" s="43"/>
      <c r="L16" s="61"/>
      <c r="M16" s="48"/>
      <c r="N16" s="61"/>
      <c r="O16" s="43"/>
    </row>
    <row r="17" spans="1:15" x14ac:dyDescent="0.25">
      <c r="A17" s="72">
        <v>45084</v>
      </c>
      <c r="B17" s="73" t="s">
        <v>31</v>
      </c>
      <c r="C17" s="55">
        <v>2000</v>
      </c>
      <c r="D17" s="61"/>
      <c r="E17" s="72">
        <v>45113</v>
      </c>
      <c r="F17" s="73" t="s">
        <v>31</v>
      </c>
      <c r="G17" s="55">
        <v>2000</v>
      </c>
      <c r="H17" s="61"/>
      <c r="I17" s="72">
        <v>45140</v>
      </c>
      <c r="J17" s="73" t="s">
        <v>31</v>
      </c>
      <c r="K17" s="55">
        <v>1300</v>
      </c>
      <c r="L17" s="61"/>
      <c r="M17" s="72">
        <v>45170</v>
      </c>
      <c r="N17" s="73" t="s">
        <v>129</v>
      </c>
      <c r="O17" s="55">
        <v>5000</v>
      </c>
    </row>
    <row r="18" spans="1:15" x14ac:dyDescent="0.25">
      <c r="A18" s="72">
        <v>45084</v>
      </c>
      <c r="B18" s="73" t="s">
        <v>32</v>
      </c>
      <c r="C18" s="55">
        <v>2000</v>
      </c>
      <c r="D18" s="61"/>
      <c r="E18" s="72">
        <v>45114</v>
      </c>
      <c r="F18" s="73" t="s">
        <v>31</v>
      </c>
      <c r="G18" s="55">
        <v>1800</v>
      </c>
      <c r="H18" s="61"/>
      <c r="I18" s="72">
        <v>45140</v>
      </c>
      <c r="J18" s="73" t="s">
        <v>130</v>
      </c>
      <c r="K18" s="55">
        <v>2000</v>
      </c>
      <c r="L18" s="61"/>
      <c r="M18" s="72">
        <v>45177</v>
      </c>
      <c r="N18" s="73" t="s">
        <v>31</v>
      </c>
      <c r="O18" s="55">
        <v>800</v>
      </c>
    </row>
    <row r="19" spans="1:15" x14ac:dyDescent="0.25">
      <c r="A19" s="72">
        <v>45086</v>
      </c>
      <c r="B19" s="73" t="s">
        <v>31</v>
      </c>
      <c r="C19" s="55">
        <v>1000</v>
      </c>
      <c r="D19" s="61"/>
      <c r="E19" s="72">
        <v>45117</v>
      </c>
      <c r="F19" s="73" t="s">
        <v>31</v>
      </c>
      <c r="G19" s="55">
        <v>1000</v>
      </c>
      <c r="H19" s="61"/>
      <c r="I19" s="72">
        <v>45141</v>
      </c>
      <c r="J19" s="73" t="s">
        <v>31</v>
      </c>
      <c r="K19" s="55">
        <v>1944</v>
      </c>
      <c r="L19" s="61"/>
      <c r="M19" s="72"/>
      <c r="N19" s="73"/>
      <c r="O19" s="55"/>
    </row>
    <row r="20" spans="1:15" x14ac:dyDescent="0.25">
      <c r="A20" s="72"/>
      <c r="B20" s="73"/>
      <c r="C20" s="55"/>
      <c r="D20" s="61"/>
      <c r="E20" s="72"/>
      <c r="F20" s="73"/>
      <c r="G20" s="55"/>
      <c r="H20" s="61"/>
      <c r="I20" s="72">
        <v>45142</v>
      </c>
      <c r="J20" s="73" t="s">
        <v>31</v>
      </c>
      <c r="K20" s="55">
        <v>1000</v>
      </c>
      <c r="L20" s="61"/>
      <c r="M20" s="72"/>
      <c r="N20" s="73"/>
      <c r="O20" s="55"/>
    </row>
    <row r="21" spans="1:15" x14ac:dyDescent="0.25">
      <c r="A21" s="72">
        <v>45107</v>
      </c>
      <c r="B21" s="73" t="s">
        <v>130</v>
      </c>
      <c r="C21" s="55">
        <v>2000</v>
      </c>
      <c r="D21" s="61"/>
      <c r="E21" s="72"/>
      <c r="F21" s="73"/>
      <c r="G21" s="55"/>
      <c r="H21" s="61"/>
      <c r="I21" s="72">
        <v>45149</v>
      </c>
      <c r="J21" s="73" t="s">
        <v>31</v>
      </c>
      <c r="K21" s="55">
        <v>500</v>
      </c>
      <c r="L21" s="61"/>
      <c r="M21" s="72"/>
      <c r="N21" s="73"/>
      <c r="O21" s="55"/>
    </row>
    <row r="22" spans="1:15" ht="3" customHeight="1" x14ac:dyDescent="0.25">
      <c r="A22" s="47"/>
      <c r="B22" s="61"/>
      <c r="C22" s="42"/>
      <c r="D22" s="61"/>
      <c r="E22" s="47"/>
      <c r="F22" s="61"/>
      <c r="G22" s="42"/>
      <c r="H22" s="61"/>
      <c r="I22" s="47"/>
      <c r="J22" s="61"/>
      <c r="K22" s="42"/>
      <c r="L22" s="61"/>
      <c r="M22" s="47"/>
      <c r="N22" s="61"/>
      <c r="O22" s="42"/>
    </row>
    <row r="23" spans="1:15" ht="15.75" customHeight="1" x14ac:dyDescent="0.25">
      <c r="A23" s="74" t="s">
        <v>131</v>
      </c>
      <c r="B23" s="73" t="s">
        <v>110</v>
      </c>
      <c r="C23" s="57">
        <f>SUM(C17:C21)</f>
        <v>7000</v>
      </c>
      <c r="D23" s="61"/>
      <c r="E23" s="74" t="s">
        <v>131</v>
      </c>
      <c r="F23" s="73" t="s">
        <v>110</v>
      </c>
      <c r="G23" s="57">
        <f>SUM(G17:G21)</f>
        <v>4800</v>
      </c>
      <c r="H23" s="61"/>
      <c r="I23" s="74" t="s">
        <v>131</v>
      </c>
      <c r="J23" s="73" t="s">
        <v>110</v>
      </c>
      <c r="K23" s="57">
        <f>SUM(K17:K21)</f>
        <v>6744</v>
      </c>
      <c r="L23" s="61"/>
      <c r="M23" s="74" t="s">
        <v>3</v>
      </c>
      <c r="N23" s="73" t="s">
        <v>110</v>
      </c>
      <c r="O23" s="57">
        <f>SUM(O17:O21)</f>
        <v>5800</v>
      </c>
    </row>
    <row r="24" spans="1:15" ht="3" customHeight="1" x14ac:dyDescent="0.25">
      <c r="A24" s="47"/>
      <c r="B24" s="61"/>
      <c r="C24" s="60"/>
      <c r="D24" s="61"/>
      <c r="E24" s="47"/>
      <c r="F24" s="61"/>
      <c r="G24" s="60"/>
      <c r="H24" s="61"/>
      <c r="I24" s="47"/>
      <c r="J24" s="61"/>
      <c r="K24" s="60"/>
      <c r="L24" s="61"/>
      <c r="M24" s="47"/>
      <c r="N24" s="61"/>
      <c r="O24" s="60"/>
    </row>
    <row r="25" spans="1:15" ht="15.75" customHeight="1" x14ac:dyDescent="0.25">
      <c r="A25" s="75" t="s">
        <v>111</v>
      </c>
      <c r="B25" s="76">
        <f>B15</f>
        <v>45047</v>
      </c>
      <c r="C25" s="25">
        <f>C15+C23</f>
        <v>29.059999999999491</v>
      </c>
      <c r="D25" s="61"/>
      <c r="E25" s="75" t="s">
        <v>111</v>
      </c>
      <c r="F25" s="76">
        <f>F15</f>
        <v>45078</v>
      </c>
      <c r="G25" s="25">
        <f>G15+G23</f>
        <v>-1352.8900000000012</v>
      </c>
      <c r="H25" s="61"/>
      <c r="I25" s="75" t="s">
        <v>111</v>
      </c>
      <c r="J25" s="76">
        <f>J15</f>
        <v>45108</v>
      </c>
      <c r="K25" s="25">
        <f>K15+K23</f>
        <v>-899.07120000000214</v>
      </c>
      <c r="L25" s="61"/>
      <c r="M25" s="75" t="s">
        <v>111</v>
      </c>
      <c r="N25" s="76">
        <f>N15</f>
        <v>45139</v>
      </c>
      <c r="O25" s="25">
        <f>O15+O23</f>
        <v>-350.07689600000231</v>
      </c>
    </row>
    <row r="26" spans="1:15" ht="3" customHeight="1" x14ac:dyDescent="0.25">
      <c r="A26" s="47"/>
      <c r="B26" s="61"/>
      <c r="C26" s="60"/>
      <c r="D26" s="61"/>
      <c r="E26" s="47"/>
      <c r="F26" s="61"/>
      <c r="G26" s="60"/>
      <c r="H26" s="61"/>
      <c r="I26" s="47"/>
      <c r="J26" s="61"/>
      <c r="K26" s="60"/>
      <c r="L26" s="61"/>
      <c r="M26" s="47"/>
      <c r="N26" s="61"/>
      <c r="O26" s="60"/>
    </row>
    <row r="27" spans="1:15" x14ac:dyDescent="0.25">
      <c r="A27" s="77"/>
      <c r="B27" s="63" t="s">
        <v>112</v>
      </c>
      <c r="C27" s="64">
        <f>IF(C25&lt;0,C25*8%,0)</f>
        <v>0</v>
      </c>
      <c r="D27" s="61"/>
      <c r="E27" s="77"/>
      <c r="F27" s="63" t="s">
        <v>112</v>
      </c>
      <c r="G27" s="64">
        <f>IF(G25&lt;0,G25*8%,0)</f>
        <v>-108.2312000000001</v>
      </c>
      <c r="H27" s="61"/>
      <c r="I27" s="77"/>
      <c r="J27" s="63" t="s">
        <v>112</v>
      </c>
      <c r="K27" s="64">
        <f>IF(K25&lt;0,K25*8%,0)</f>
        <v>-71.925696000000173</v>
      </c>
      <c r="L27" s="61"/>
      <c r="M27" s="77"/>
      <c r="N27" s="63" t="s">
        <v>112</v>
      </c>
      <c r="O27" s="64">
        <f>IF(O25&lt;0,O25*8%,0)</f>
        <v>-28.006151680000187</v>
      </c>
    </row>
    <row r="28" spans="1:15" ht="3" customHeight="1" x14ac:dyDescent="0.25"/>
    <row r="29" spans="1:15" ht="20.25" customHeight="1" x14ac:dyDescent="0.3">
      <c r="A29" s="112" t="str">
        <f>UPPER(TEXT(A31,"mmmm")&amp;" "&amp;TEXT(A31,"aaaa"))</f>
        <v>SETEMBRO 2023</v>
      </c>
      <c r="B29" s="113"/>
      <c r="C29" s="113"/>
      <c r="D29" s="61"/>
      <c r="E29" s="112" t="str">
        <f>UPPER(TEXT(E31,"mmmm")&amp;" "&amp;TEXT(E31,"aaaa"))</f>
        <v>OUTUBRO 2023</v>
      </c>
      <c r="F29" s="113"/>
      <c r="G29" s="113"/>
      <c r="H29" s="61"/>
      <c r="I29" s="112" t="str">
        <f>UPPER(TEXT(I31,"mmmm")&amp;" "&amp;TEXT(I31,"aaaa"))</f>
        <v>NOVEMBRO 2023</v>
      </c>
      <c r="J29" s="113"/>
      <c r="K29" s="113"/>
      <c r="L29" s="61"/>
      <c r="M29" s="112" t="str">
        <f>UPPER(TEXT(M31,"mmmm")&amp;" "&amp;TEXT(M31,"aaaa"))</f>
        <v>DEZEMBRO 2023</v>
      </c>
      <c r="N29" s="113"/>
      <c r="O29" s="113"/>
    </row>
    <row r="30" spans="1:15" x14ac:dyDescent="0.25">
      <c r="A30" s="47" t="s">
        <v>97</v>
      </c>
      <c r="B30" s="48" t="s">
        <v>98</v>
      </c>
      <c r="C30" s="49" t="s">
        <v>99</v>
      </c>
      <c r="D30" s="61"/>
      <c r="E30" s="47" t="s">
        <v>97</v>
      </c>
      <c r="F30" s="48" t="s">
        <v>98</v>
      </c>
      <c r="G30" s="49" t="s">
        <v>99</v>
      </c>
      <c r="H30" s="61"/>
      <c r="I30" s="47" t="s">
        <v>97</v>
      </c>
      <c r="J30" s="48" t="s">
        <v>98</v>
      </c>
      <c r="K30" s="49" t="s">
        <v>99</v>
      </c>
      <c r="L30" s="61"/>
      <c r="M30" s="47" t="s">
        <v>97</v>
      </c>
      <c r="N30" s="48" t="s">
        <v>98</v>
      </c>
      <c r="O30" s="49" t="s">
        <v>99</v>
      </c>
    </row>
    <row r="31" spans="1:15" x14ac:dyDescent="0.25">
      <c r="A31" s="66">
        <v>45170</v>
      </c>
      <c r="B31" s="67" t="str">
        <f>"SALDO "&amp;UPPER(TEXT(A31-1,"mmmm"))</f>
        <v>SALDO AGOSTO</v>
      </c>
      <c r="C31" s="32">
        <f>O25</f>
        <v>-350.07689600000231</v>
      </c>
      <c r="D31" s="61"/>
      <c r="E31" s="66">
        <v>45200</v>
      </c>
      <c r="F31" s="67" t="str">
        <f>"SALDO "&amp;UPPER(TEXT(E31-1,"mmmm"))</f>
        <v>SALDO SETEMBRO</v>
      </c>
      <c r="G31" s="32">
        <f>C48</f>
        <v>-574.15689600000223</v>
      </c>
      <c r="H31" s="61"/>
      <c r="I31" s="66">
        <v>45231</v>
      </c>
      <c r="J31" s="67" t="str">
        <f>"SALDO "&amp;UPPER(TEXT(I31-1,"mmmm"))</f>
        <v>SALDO OUTUBRO</v>
      </c>
      <c r="K31" s="32">
        <f>G48</f>
        <v>-943.08944768000219</v>
      </c>
      <c r="L31" s="61"/>
      <c r="M31" s="66">
        <v>45261</v>
      </c>
      <c r="N31" s="67" t="str">
        <f>"SALDO "&amp;UPPER(TEXT(M31-1,"mmmm"))</f>
        <v>SALDO NOVEMBRO</v>
      </c>
      <c r="O31" s="58">
        <f>K48</f>
        <v>-1891.5366034944027</v>
      </c>
    </row>
    <row r="32" spans="1:15" x14ac:dyDescent="0.25">
      <c r="A32" s="66">
        <v>45198</v>
      </c>
      <c r="B32" s="67" t="s">
        <v>45</v>
      </c>
      <c r="C32" s="58">
        <v>-2060.08</v>
      </c>
      <c r="D32" s="61"/>
      <c r="E32" s="66">
        <v>45228</v>
      </c>
      <c r="F32" s="67" t="s">
        <v>46</v>
      </c>
      <c r="G32" s="58">
        <v>-2060.08</v>
      </c>
      <c r="H32" s="61"/>
      <c r="I32" s="66">
        <v>45259</v>
      </c>
      <c r="J32" s="67" t="s">
        <v>47</v>
      </c>
      <c r="K32" s="58">
        <v>-2060.08</v>
      </c>
      <c r="L32" s="61"/>
      <c r="M32" s="66">
        <v>45289</v>
      </c>
      <c r="N32" s="67" t="s">
        <v>48</v>
      </c>
      <c r="O32" s="58">
        <v>-2060.08</v>
      </c>
    </row>
    <row r="33" spans="1:15" x14ac:dyDescent="0.25">
      <c r="A33" s="66">
        <v>45199</v>
      </c>
      <c r="B33" s="67" t="s">
        <v>91</v>
      </c>
      <c r="C33" s="58">
        <v>-2762.92</v>
      </c>
      <c r="D33" s="61"/>
      <c r="E33" s="66">
        <v>45229</v>
      </c>
      <c r="F33" s="67" t="s">
        <v>92</v>
      </c>
      <c r="G33" s="58">
        <v>-2762.92</v>
      </c>
      <c r="H33" s="61"/>
      <c r="I33" s="66">
        <v>45260</v>
      </c>
      <c r="J33" s="67" t="s">
        <v>93</v>
      </c>
      <c r="K33" s="58">
        <v>-2762.92</v>
      </c>
      <c r="L33" s="61"/>
      <c r="M33" s="66">
        <v>45290</v>
      </c>
      <c r="N33" s="67" t="s">
        <v>94</v>
      </c>
      <c r="O33" s="58">
        <v>-2762.92</v>
      </c>
    </row>
    <row r="34" spans="1:15" x14ac:dyDescent="0.25">
      <c r="A34" s="66">
        <v>45199</v>
      </c>
      <c r="B34" s="67" t="s">
        <v>132</v>
      </c>
      <c r="C34" s="58">
        <v>-356.08</v>
      </c>
      <c r="D34" s="61"/>
      <c r="E34" s="66"/>
      <c r="F34" s="67"/>
      <c r="G34" s="58"/>
      <c r="H34" s="61"/>
      <c r="I34" s="66"/>
      <c r="J34" s="67"/>
      <c r="K34" s="58"/>
      <c r="L34" s="61"/>
      <c r="M34" s="66"/>
      <c r="N34" s="67"/>
      <c r="O34" s="58"/>
    </row>
    <row r="35" spans="1:15" x14ac:dyDescent="0.25">
      <c r="A35" s="66"/>
      <c r="B35" s="67"/>
      <c r="C35" s="58"/>
      <c r="D35" s="61"/>
      <c r="E35" s="66"/>
      <c r="F35" s="67"/>
      <c r="G35" s="58"/>
      <c r="H35" s="61"/>
      <c r="I35" s="66"/>
      <c r="J35" s="67"/>
      <c r="K35" s="58"/>
      <c r="L35" s="61"/>
      <c r="M35" s="66"/>
      <c r="N35" s="67"/>
      <c r="O35" s="106">
        <v>655.20000000000005</v>
      </c>
    </row>
    <row r="36" spans="1:15" x14ac:dyDescent="0.25">
      <c r="A36" s="66">
        <f>IF(O27&lt;0,A31,"")</f>
        <v>45170</v>
      </c>
      <c r="B36" s="67" t="str">
        <f>IF(O27&lt;0,"Juros 8% Mês "&amp;M2,"")</f>
        <v>Juros 8% Mês AGOSTO 2023</v>
      </c>
      <c r="C36" s="32">
        <f>'05-08 de 23'!O74</f>
        <v>0</v>
      </c>
      <c r="D36" s="61"/>
      <c r="E36" s="66">
        <f>IF(C50&lt;0,E31,"")</f>
        <v>45200</v>
      </c>
      <c r="F36" s="67" t="str">
        <f>IF(C50&lt;0,"Juros 8% Mês "&amp;A29,"")</f>
        <v>Juros 8% Mês SETEMBRO 2023</v>
      </c>
      <c r="G36" s="32">
        <f>C50</f>
        <v>-45.932551680000181</v>
      </c>
      <c r="H36" s="61"/>
      <c r="I36" s="66">
        <f>IF(G50&lt;0,I31,"")</f>
        <v>45231</v>
      </c>
      <c r="J36" s="67" t="str">
        <f>IF(G50&lt;0,"Juros 8% Mês "&amp;E29,"")</f>
        <v>Juros 8% Mês OUTUBRO 2023</v>
      </c>
      <c r="K36" s="32">
        <f>G50</f>
        <v>-75.447155814400176</v>
      </c>
      <c r="L36" s="61"/>
      <c r="M36" s="66">
        <f>IF(K50&lt;0,M31,"")</f>
        <v>45261</v>
      </c>
      <c r="N36" s="67" t="str">
        <f>IF(K50&lt;0,"Juros 8% Mês "&amp;I29,"")</f>
        <v>Juros 8% Mês NOVEMBRO 2023</v>
      </c>
      <c r="O36" s="32">
        <f>K50</f>
        <v>-151.32292827955223</v>
      </c>
    </row>
    <row r="37" spans="1:15" ht="3" customHeight="1" x14ac:dyDescent="0.25">
      <c r="A37" s="47"/>
      <c r="B37" s="61"/>
      <c r="C37" s="42"/>
      <c r="D37" s="61"/>
      <c r="E37" s="47"/>
      <c r="F37" s="61"/>
      <c r="G37" s="42"/>
      <c r="H37" s="61"/>
      <c r="I37" s="47"/>
      <c r="J37" s="61"/>
      <c r="K37" s="42"/>
      <c r="L37" s="61"/>
      <c r="M37" s="47"/>
      <c r="N37" s="61"/>
      <c r="O37" s="42"/>
    </row>
    <row r="38" spans="1:15" ht="15.75" customHeight="1" x14ac:dyDescent="0.25">
      <c r="A38" s="68" t="s">
        <v>109</v>
      </c>
      <c r="B38" s="69">
        <f>A31</f>
        <v>45170</v>
      </c>
      <c r="C38" s="52">
        <f>SUM(C31:C36)</f>
        <v>-5529.1568960000022</v>
      </c>
      <c r="D38" s="45"/>
      <c r="E38" s="68" t="s">
        <v>109</v>
      </c>
      <c r="F38" s="69">
        <f>E31</f>
        <v>45200</v>
      </c>
      <c r="G38" s="52">
        <f>SUM(G31:G36)</f>
        <v>-5443.0894476800022</v>
      </c>
      <c r="H38" s="45"/>
      <c r="I38" s="68" t="s">
        <v>109</v>
      </c>
      <c r="J38" s="69">
        <f>I31</f>
        <v>45231</v>
      </c>
      <c r="K38" s="52">
        <f>SUM(K31:K36)</f>
        <v>-5841.5366034944027</v>
      </c>
      <c r="L38" s="45"/>
      <c r="M38" s="68" t="s">
        <v>109</v>
      </c>
      <c r="N38" s="69">
        <f>M31</f>
        <v>45261</v>
      </c>
      <c r="O38" s="52">
        <f>SUM(O31:O36)</f>
        <v>-6210.6595317739548</v>
      </c>
    </row>
    <row r="39" spans="1:15" ht="3" customHeight="1" x14ac:dyDescent="0.25">
      <c r="A39" s="48"/>
      <c r="B39" s="61"/>
      <c r="C39" s="43"/>
      <c r="D39" s="61"/>
      <c r="E39" s="48"/>
      <c r="F39" s="61"/>
      <c r="G39" s="43"/>
      <c r="H39" s="61"/>
      <c r="I39" s="48"/>
      <c r="J39" s="61"/>
      <c r="K39" s="43"/>
      <c r="L39" s="61"/>
      <c r="M39" s="48"/>
      <c r="N39" s="61"/>
      <c r="O39" s="43"/>
    </row>
    <row r="40" spans="1:15" x14ac:dyDescent="0.25">
      <c r="A40" s="72">
        <v>45203</v>
      </c>
      <c r="B40" s="73" t="s">
        <v>129</v>
      </c>
      <c r="C40" s="55">
        <v>1000</v>
      </c>
      <c r="D40" s="61"/>
      <c r="E40" s="72">
        <v>45237</v>
      </c>
      <c r="F40" s="73" t="s">
        <v>138</v>
      </c>
      <c r="G40" s="55">
        <v>1000</v>
      </c>
      <c r="H40" s="61"/>
      <c r="I40" s="72">
        <v>45269</v>
      </c>
      <c r="J40" s="73" t="s">
        <v>31</v>
      </c>
      <c r="K40" s="55">
        <v>1950</v>
      </c>
      <c r="L40" s="61"/>
      <c r="M40" s="72">
        <v>45293</v>
      </c>
      <c r="N40" s="73" t="s">
        <v>31</v>
      </c>
      <c r="O40" s="55">
        <v>500</v>
      </c>
    </row>
    <row r="41" spans="1:15" x14ac:dyDescent="0.25">
      <c r="A41" s="72">
        <v>45205</v>
      </c>
      <c r="B41" s="73" t="s">
        <v>31</v>
      </c>
      <c r="C41" s="55">
        <v>1955</v>
      </c>
      <c r="D41" s="61"/>
      <c r="E41" s="72">
        <v>45238</v>
      </c>
      <c r="F41" s="73" t="s">
        <v>138</v>
      </c>
      <c r="G41" s="55">
        <v>2000</v>
      </c>
      <c r="H41" s="61"/>
      <c r="I41" s="72">
        <v>45272</v>
      </c>
      <c r="J41" s="73" t="s">
        <v>31</v>
      </c>
      <c r="K41" s="55">
        <v>500</v>
      </c>
      <c r="L41" s="61"/>
      <c r="M41" s="72">
        <v>45303</v>
      </c>
      <c r="N41" s="73" t="s">
        <v>31</v>
      </c>
      <c r="O41" s="55">
        <v>2000</v>
      </c>
    </row>
    <row r="42" spans="1:15" x14ac:dyDescent="0.25">
      <c r="A42" s="72">
        <v>45206</v>
      </c>
      <c r="B42" s="73" t="s">
        <v>31</v>
      </c>
      <c r="C42" s="55">
        <v>2000</v>
      </c>
      <c r="D42" s="61"/>
      <c r="E42" s="72">
        <v>45239</v>
      </c>
      <c r="F42" s="73" t="s">
        <v>138</v>
      </c>
      <c r="G42" s="55">
        <v>1500</v>
      </c>
      <c r="H42" s="61"/>
      <c r="I42" s="72">
        <v>45288</v>
      </c>
      <c r="J42" s="73" t="s">
        <v>31</v>
      </c>
      <c r="K42" s="55">
        <v>1500</v>
      </c>
      <c r="L42" s="61"/>
      <c r="M42" s="72">
        <v>45310</v>
      </c>
      <c r="N42" s="73" t="s">
        <v>31</v>
      </c>
      <c r="O42" s="55">
        <v>2000</v>
      </c>
    </row>
    <row r="43" spans="1:15" x14ac:dyDescent="0.25">
      <c r="A43" s="72"/>
      <c r="B43" s="73"/>
      <c r="C43" s="55"/>
      <c r="D43" s="61"/>
      <c r="E43" s="72"/>
      <c r="F43" s="73"/>
      <c r="G43" s="55"/>
      <c r="H43" s="61"/>
      <c r="I43" s="72"/>
      <c r="J43" s="73"/>
      <c r="K43" s="55"/>
      <c r="L43" s="61"/>
      <c r="M43" s="72">
        <v>45311</v>
      </c>
      <c r="N43" s="73" t="s">
        <v>31</v>
      </c>
      <c r="O43" s="55">
        <v>500</v>
      </c>
    </row>
    <row r="44" spans="1:15" x14ac:dyDescent="0.25">
      <c r="A44" s="72"/>
      <c r="B44" s="73"/>
      <c r="C44" s="55"/>
      <c r="D44" s="61"/>
      <c r="E44" s="72"/>
      <c r="F44" s="73"/>
      <c r="G44" s="55"/>
      <c r="H44" s="61"/>
      <c r="I44" s="72"/>
      <c r="J44" s="73"/>
      <c r="K44" s="55"/>
      <c r="L44" s="61"/>
      <c r="M44" s="72"/>
      <c r="N44" s="73"/>
      <c r="O44" s="55"/>
    </row>
    <row r="45" spans="1:15" ht="3" customHeight="1" x14ac:dyDescent="0.25">
      <c r="A45" s="47"/>
      <c r="B45" s="61"/>
      <c r="C45" s="42"/>
      <c r="D45" s="61"/>
      <c r="E45" s="47"/>
      <c r="F45" s="61"/>
      <c r="G45" s="42"/>
      <c r="H45" s="61"/>
      <c r="I45" s="47"/>
      <c r="J45" s="61"/>
      <c r="K45" s="42"/>
      <c r="L45" s="61"/>
      <c r="M45" s="47"/>
      <c r="N45" s="61"/>
      <c r="O45" s="42"/>
    </row>
    <row r="46" spans="1:15" ht="15.75" customHeight="1" x14ac:dyDescent="0.25">
      <c r="A46" s="74"/>
      <c r="B46" s="73" t="s">
        <v>104</v>
      </c>
      <c r="C46" s="57">
        <f>SUM(C40:C44)</f>
        <v>4955</v>
      </c>
      <c r="D46" s="61"/>
      <c r="E46" s="74"/>
      <c r="F46" s="73" t="s">
        <v>104</v>
      </c>
      <c r="G46" s="57">
        <f>SUM(G40:G44)</f>
        <v>4500</v>
      </c>
      <c r="H46" s="61"/>
      <c r="I46" s="74"/>
      <c r="J46" s="73" t="s">
        <v>104</v>
      </c>
      <c r="K46" s="57">
        <f>SUM(K40:K44)</f>
        <v>3950</v>
      </c>
      <c r="L46" s="61"/>
      <c r="M46" s="74"/>
      <c r="N46" s="73" t="s">
        <v>104</v>
      </c>
      <c r="O46" s="57">
        <f>SUM(O40:O44)</f>
        <v>5000</v>
      </c>
    </row>
    <row r="47" spans="1:15" ht="3" customHeight="1" x14ac:dyDescent="0.25">
      <c r="A47" s="47"/>
      <c r="B47" s="61"/>
      <c r="C47" s="60"/>
      <c r="D47" s="61"/>
      <c r="E47" s="47"/>
      <c r="F47" s="61"/>
      <c r="G47" s="60"/>
      <c r="H47" s="61"/>
      <c r="I47" s="47"/>
      <c r="J47" s="61"/>
      <c r="K47" s="60"/>
      <c r="L47" s="61"/>
      <c r="M47" s="47"/>
      <c r="N47" s="61"/>
      <c r="O47" s="60"/>
    </row>
    <row r="48" spans="1:15" ht="15.75" customHeight="1" x14ac:dyDescent="0.25">
      <c r="A48" s="75"/>
      <c r="B48" s="76" t="s">
        <v>139</v>
      </c>
      <c r="C48" s="25">
        <f>C38+C46</f>
        <v>-574.15689600000223</v>
      </c>
      <c r="D48" s="45"/>
      <c r="E48" s="75"/>
      <c r="F48" s="76" t="s">
        <v>140</v>
      </c>
      <c r="G48" s="25">
        <f>G38+G46</f>
        <v>-943.08944768000219</v>
      </c>
      <c r="H48" s="45"/>
      <c r="I48" s="75"/>
      <c r="J48" s="76" t="s">
        <v>141</v>
      </c>
      <c r="K48" s="25">
        <f>K38+K46</f>
        <v>-1891.5366034944027</v>
      </c>
      <c r="L48" s="45"/>
      <c r="M48" s="75"/>
      <c r="N48" s="76" t="s">
        <v>142</v>
      </c>
      <c r="O48" s="25">
        <f>O38+O46</f>
        <v>-1210.6595317739548</v>
      </c>
    </row>
    <row r="49" spans="1:15" ht="3" customHeight="1" x14ac:dyDescent="0.25">
      <c r="A49" s="47"/>
      <c r="B49" s="61"/>
      <c r="C49" s="60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</row>
    <row r="50" spans="1:15" x14ac:dyDescent="0.25">
      <c r="A50" s="77"/>
      <c r="B50" s="63" t="s">
        <v>112</v>
      </c>
      <c r="C50" s="64">
        <f>IF(C48&lt;0,C48*8%,0)</f>
        <v>-45.932551680000181</v>
      </c>
      <c r="D50" s="61"/>
      <c r="E50" s="77"/>
      <c r="F50" s="63" t="s">
        <v>112</v>
      </c>
      <c r="G50" s="64">
        <f>IF(G48&lt;0,G48*8%,0)</f>
        <v>-75.447155814400176</v>
      </c>
      <c r="H50" s="61"/>
      <c r="I50" s="77"/>
      <c r="J50" s="63" t="s">
        <v>112</v>
      </c>
      <c r="K50" s="64">
        <f>IF(K48&lt;0,K48*8%,0)</f>
        <v>-151.32292827955223</v>
      </c>
      <c r="L50" s="61"/>
      <c r="M50" s="77"/>
      <c r="N50" s="63" t="s">
        <v>112</v>
      </c>
      <c r="O50" s="64">
        <f>IF(O48&lt;0,O48*8%,0)</f>
        <v>-96.852762541916377</v>
      </c>
    </row>
    <row r="51" spans="1:15" ht="15" customHeight="1" x14ac:dyDescent="0.25"/>
    <row r="52" spans="1:15" ht="20.25" customHeight="1" x14ac:dyDescent="0.3">
      <c r="A52" s="112" t="str">
        <f>UPPER(TEXT(A54,"mmmm")&amp;" "&amp;TEXT(A54,"aaaa"))</f>
        <v>JANEIRO 2024</v>
      </c>
      <c r="B52" s="113"/>
      <c r="C52" s="113"/>
      <c r="D52" s="61"/>
      <c r="E52" s="112" t="str">
        <f>UPPER(TEXT(E54,"mmmm")&amp;" "&amp;TEXT(E54,"aaaa"))</f>
        <v>FEVEREIRO 2024</v>
      </c>
      <c r="F52" s="113"/>
      <c r="G52" s="113"/>
      <c r="H52" s="61"/>
      <c r="I52" s="112" t="str">
        <f>UPPER(TEXT(I54,"mmmm")&amp;" "&amp;TEXT(I54,"aaaa"))</f>
        <v>MARÇO 2024</v>
      </c>
      <c r="J52" s="113"/>
      <c r="K52" s="113"/>
      <c r="L52" s="61"/>
      <c r="M52" s="112" t="str">
        <f>UPPER(TEXT(M54,"mmmm")&amp;" "&amp;TEXT(M54,"aaaa"))</f>
        <v>ABRIL 2024</v>
      </c>
      <c r="N52" s="113"/>
      <c r="O52" s="113"/>
    </row>
    <row r="53" spans="1:15" x14ac:dyDescent="0.25">
      <c r="A53" s="47" t="s">
        <v>97</v>
      </c>
      <c r="B53" s="48" t="s">
        <v>98</v>
      </c>
      <c r="C53" s="49" t="s">
        <v>99</v>
      </c>
      <c r="D53" s="61"/>
      <c r="E53" s="47" t="s">
        <v>97</v>
      </c>
      <c r="F53" s="48" t="s">
        <v>98</v>
      </c>
      <c r="G53" s="49" t="s">
        <v>99</v>
      </c>
      <c r="H53" s="61"/>
      <c r="I53" s="47" t="s">
        <v>97</v>
      </c>
      <c r="J53" s="48" t="s">
        <v>98</v>
      </c>
      <c r="K53" s="49" t="s">
        <v>99</v>
      </c>
      <c r="L53" s="61"/>
      <c r="M53" s="47" t="s">
        <v>97</v>
      </c>
      <c r="N53" s="48" t="s">
        <v>98</v>
      </c>
      <c r="O53" s="49" t="s">
        <v>99</v>
      </c>
    </row>
    <row r="54" spans="1:15" x14ac:dyDescent="0.25">
      <c r="A54" s="66">
        <v>45292</v>
      </c>
      <c r="B54" s="67" t="str">
        <f>"SALDO "&amp;UPPER(TEXT(A54-1,"mmmm aaaa"))</f>
        <v>SALDO DEZEMBRO 2023</v>
      </c>
      <c r="C54" s="58">
        <f>O48</f>
        <v>-1210.6595317739548</v>
      </c>
      <c r="D54" s="61"/>
      <c r="E54" s="66">
        <v>45323</v>
      </c>
      <c r="F54" s="67" t="str">
        <f>"SALDO "&amp;UPPER(TEXT(E54-1,"mmmm"))</f>
        <v>SALDO JANEIRO</v>
      </c>
      <c r="G54" s="32">
        <f>C71</f>
        <v>-620.65953177395477</v>
      </c>
      <c r="H54" s="61"/>
      <c r="I54" s="66">
        <v>45352</v>
      </c>
      <c r="J54" s="67" t="str">
        <f>"SALDO "&amp;UPPER(TEXT(I54-1,"mmmm"))</f>
        <v>SALDO FEVEREIRO</v>
      </c>
      <c r="K54" s="58">
        <f>G71</f>
        <v>-3193.3122943158714</v>
      </c>
      <c r="L54" s="61"/>
      <c r="M54" s="66">
        <v>45383</v>
      </c>
      <c r="N54" s="67" t="str">
        <f>"SALDO "&amp;UPPER(TEXT(M54-1,"mmmm"))</f>
        <v>SALDO MARÇO</v>
      </c>
      <c r="O54" s="58">
        <f>K71</f>
        <v>-3508.8572778611415</v>
      </c>
    </row>
    <row r="55" spans="1:15" x14ac:dyDescent="0.25">
      <c r="A55" s="66">
        <v>45320</v>
      </c>
      <c r="B55" s="67" t="s">
        <v>49</v>
      </c>
      <c r="C55" s="58">
        <v>-2060.08</v>
      </c>
      <c r="D55" s="61"/>
      <c r="E55" s="66">
        <v>45351</v>
      </c>
      <c r="F55" s="67" t="s">
        <v>143</v>
      </c>
      <c r="G55" s="58">
        <v>-2762.92</v>
      </c>
      <c r="H55" s="61"/>
      <c r="I55" s="66">
        <v>45380</v>
      </c>
      <c r="J55" s="67" t="s">
        <v>51</v>
      </c>
      <c r="K55" s="58">
        <v>-2060.08</v>
      </c>
      <c r="L55" s="61"/>
      <c r="M55" s="66">
        <v>45411</v>
      </c>
      <c r="N55" s="67" t="s">
        <v>52</v>
      </c>
      <c r="O55" s="58">
        <v>-2060.08</v>
      </c>
    </row>
    <row r="56" spans="1:15" x14ac:dyDescent="0.25">
      <c r="A56" s="66">
        <v>45321</v>
      </c>
      <c r="B56" s="67" t="s">
        <v>95</v>
      </c>
      <c r="C56" s="58">
        <v>-2762.92</v>
      </c>
      <c r="D56" s="61"/>
      <c r="E56" s="66">
        <v>45351</v>
      </c>
      <c r="F56" s="67" t="s">
        <v>50</v>
      </c>
      <c r="G56" s="58">
        <v>-2060.08</v>
      </c>
      <c r="H56" s="61"/>
      <c r="I56" s="66"/>
      <c r="J56" s="67"/>
      <c r="K56" s="58"/>
      <c r="L56" s="61"/>
      <c r="M56" s="66"/>
      <c r="N56" s="67"/>
      <c r="O56" s="58"/>
    </row>
    <row r="57" spans="1:15" x14ac:dyDescent="0.25">
      <c r="A57" s="66"/>
      <c r="B57" s="67"/>
      <c r="C57" s="58"/>
      <c r="D57" s="61"/>
      <c r="E57" s="66"/>
      <c r="F57" s="67"/>
      <c r="G57" s="58"/>
      <c r="H57" s="61"/>
      <c r="I57" s="66"/>
      <c r="J57" s="67"/>
      <c r="K57" s="58"/>
      <c r="L57" s="61"/>
      <c r="M57" s="66"/>
      <c r="N57" s="67"/>
      <c r="O57" s="58"/>
    </row>
    <row r="58" spans="1:15" x14ac:dyDescent="0.25">
      <c r="A58" s="66"/>
      <c r="B58" s="67"/>
      <c r="C58" s="58"/>
      <c r="D58" s="61"/>
      <c r="E58" s="66"/>
      <c r="F58" s="67"/>
      <c r="G58" s="58"/>
      <c r="H58" s="61"/>
      <c r="I58" s="66"/>
      <c r="J58" s="67"/>
      <c r="K58" s="58"/>
      <c r="L58" s="61"/>
      <c r="M58" s="66"/>
      <c r="N58" s="67"/>
      <c r="O58" s="58"/>
    </row>
    <row r="59" spans="1:15" x14ac:dyDescent="0.25">
      <c r="A59" s="66">
        <f>IF(O50&lt;0,A54,"")</f>
        <v>45292</v>
      </c>
      <c r="B59" s="67" t="str">
        <f>IF(O50&lt;0,"Juros 8% Mês "&amp;M29,"")</f>
        <v>Juros 8% Mês DEZEMBRO 2023</v>
      </c>
      <c r="C59" s="32">
        <f>'05-08 de 23'!O97</f>
        <v>0</v>
      </c>
      <c r="D59" s="61"/>
      <c r="E59" s="66">
        <f>IF(C73&lt;0,E54,"")</f>
        <v>45323</v>
      </c>
      <c r="F59" s="67" t="str">
        <f>IF(C73&lt;0,"Juros 8% Mês "&amp;A52,"")</f>
        <v>Juros 8% Mês JANEIRO 2024</v>
      </c>
      <c r="G59" s="32">
        <f>C73</f>
        <v>-49.652762541916381</v>
      </c>
      <c r="H59" s="61"/>
      <c r="I59" s="66">
        <f>IF(G73&lt;0,I54,"")</f>
        <v>45352</v>
      </c>
      <c r="J59" s="67" t="str">
        <f>IF(G73&lt;0,"Juros 8% Mês "&amp;E52,"")</f>
        <v>Juros 8% Mês FEVEREIRO 2024</v>
      </c>
      <c r="K59" s="32">
        <f>G73</f>
        <v>-255.46498354526972</v>
      </c>
      <c r="L59" s="61"/>
      <c r="M59" s="66">
        <f>IF(K73&lt;0,M54,"")</f>
        <v>45383</v>
      </c>
      <c r="N59" s="67" t="str">
        <f>IF(K73&lt;0,"Juros 8% Mês "&amp;I52,"")</f>
        <v>Juros 8% Mês MARÇO 2024</v>
      </c>
      <c r="O59" s="32">
        <f>K73</f>
        <v>-280.70858222889132</v>
      </c>
    </row>
    <row r="60" spans="1:15" ht="3" customHeight="1" x14ac:dyDescent="0.25">
      <c r="A60" s="47"/>
      <c r="B60" s="61"/>
      <c r="C60" s="42"/>
      <c r="D60" s="61"/>
      <c r="E60" s="47"/>
      <c r="F60" s="61"/>
      <c r="G60" s="42"/>
      <c r="H60" s="61"/>
      <c r="I60" s="47"/>
      <c r="J60" s="61"/>
      <c r="K60" s="42"/>
      <c r="L60" s="61"/>
      <c r="M60" s="47"/>
      <c r="N60" s="61"/>
      <c r="O60" s="42"/>
    </row>
    <row r="61" spans="1:15" ht="15.75" customHeight="1" x14ac:dyDescent="0.25">
      <c r="A61" s="68" t="s">
        <v>109</v>
      </c>
      <c r="B61" s="69">
        <f>A54</f>
        <v>45292</v>
      </c>
      <c r="C61" s="52">
        <f>SUM(C54:C59)</f>
        <v>-6033.6595317739548</v>
      </c>
      <c r="D61" s="45"/>
      <c r="E61" s="68" t="s">
        <v>109</v>
      </c>
      <c r="F61" s="69">
        <f>E54</f>
        <v>45323</v>
      </c>
      <c r="G61" s="52">
        <f>SUM(G54:G59)</f>
        <v>-5493.3122943158714</v>
      </c>
      <c r="H61" s="45"/>
      <c r="I61" s="68" t="s">
        <v>109</v>
      </c>
      <c r="J61" s="69">
        <f>I54</f>
        <v>45352</v>
      </c>
      <c r="K61" s="52">
        <f>SUM(K54:K59)</f>
        <v>-5508.8572778611415</v>
      </c>
      <c r="L61" s="45"/>
      <c r="M61" s="68" t="s">
        <v>109</v>
      </c>
      <c r="N61" s="69">
        <f>M54</f>
        <v>45383</v>
      </c>
      <c r="O61" s="52">
        <f>SUM(O54:O59)</f>
        <v>-5849.6458600900323</v>
      </c>
    </row>
    <row r="62" spans="1:15" ht="3" customHeight="1" x14ac:dyDescent="0.25">
      <c r="A62" s="48"/>
      <c r="B62" s="61"/>
      <c r="C62" s="43"/>
      <c r="D62" s="61"/>
      <c r="E62" s="48"/>
      <c r="F62" s="61"/>
      <c r="G62" s="43"/>
      <c r="H62" s="61"/>
      <c r="I62" s="48"/>
      <c r="J62" s="61"/>
      <c r="K62" s="43"/>
      <c r="L62" s="61"/>
      <c r="M62" s="48"/>
      <c r="N62" s="61"/>
      <c r="O62" s="43"/>
    </row>
    <row r="63" spans="1:15" x14ac:dyDescent="0.25">
      <c r="A63" s="72">
        <v>45331</v>
      </c>
      <c r="B63" s="73" t="s">
        <v>31</v>
      </c>
      <c r="C63" s="55">
        <v>1413</v>
      </c>
      <c r="D63" s="61"/>
      <c r="E63" s="72">
        <v>45369</v>
      </c>
      <c r="F63" s="73" t="s">
        <v>144</v>
      </c>
      <c r="G63" s="55">
        <v>500</v>
      </c>
      <c r="H63" s="61"/>
      <c r="I63" s="72">
        <v>45387</v>
      </c>
      <c r="J63" s="73" t="s">
        <v>144</v>
      </c>
      <c r="K63" s="55">
        <v>1000</v>
      </c>
      <c r="L63" s="61"/>
      <c r="M63" s="72">
        <v>45412</v>
      </c>
      <c r="N63" s="73" t="s">
        <v>144</v>
      </c>
      <c r="O63" s="55">
        <v>1000</v>
      </c>
    </row>
    <row r="64" spans="1:15" x14ac:dyDescent="0.25">
      <c r="A64" s="72">
        <v>45334</v>
      </c>
      <c r="B64" s="73" t="s">
        <v>31</v>
      </c>
      <c r="C64" s="55">
        <v>500</v>
      </c>
      <c r="D64" s="61"/>
      <c r="E64" s="72">
        <v>45376</v>
      </c>
      <c r="F64" s="73" t="s">
        <v>144</v>
      </c>
      <c r="G64" s="55">
        <v>1800</v>
      </c>
      <c r="H64" s="61"/>
      <c r="I64" s="72">
        <v>45388</v>
      </c>
      <c r="J64" s="73" t="s">
        <v>144</v>
      </c>
      <c r="K64" s="55">
        <v>1000</v>
      </c>
      <c r="L64" s="61"/>
      <c r="M64" s="92">
        <v>45421</v>
      </c>
      <c r="N64" s="93" t="s">
        <v>145</v>
      </c>
      <c r="O64" s="94">
        <v>2000</v>
      </c>
    </row>
    <row r="65" spans="1:15" x14ac:dyDescent="0.25">
      <c r="A65" s="72">
        <v>45346</v>
      </c>
      <c r="B65" s="73" t="s">
        <v>31</v>
      </c>
      <c r="C65" s="55">
        <v>1500</v>
      </c>
      <c r="D65" s="61"/>
      <c r="E65" s="72"/>
      <c r="F65" s="73"/>
      <c r="G65" s="55"/>
      <c r="H65" s="61"/>
      <c r="I65" s="72"/>
      <c r="J65" s="73"/>
      <c r="K65" s="55"/>
      <c r="L65" s="61"/>
      <c r="M65" s="72"/>
      <c r="N65" s="73"/>
      <c r="O65" s="55"/>
    </row>
    <row r="66" spans="1:15" x14ac:dyDescent="0.25">
      <c r="A66" s="72">
        <v>45351</v>
      </c>
      <c r="B66" s="73" t="s">
        <v>31</v>
      </c>
      <c r="C66" s="55">
        <v>2000</v>
      </c>
      <c r="D66" s="61"/>
      <c r="E66" s="72"/>
      <c r="F66" s="73"/>
      <c r="G66" s="55"/>
      <c r="H66" s="61"/>
      <c r="I66" s="72"/>
      <c r="J66" s="73"/>
      <c r="K66" s="55"/>
      <c r="L66" s="61"/>
      <c r="M66" s="72"/>
      <c r="N66" s="73"/>
      <c r="O66" s="55"/>
    </row>
    <row r="67" spans="1:15" x14ac:dyDescent="0.25">
      <c r="A67" s="72"/>
      <c r="B67" s="73"/>
      <c r="C67" s="55"/>
      <c r="D67" s="61"/>
      <c r="E67" s="72"/>
      <c r="F67" s="73"/>
      <c r="G67" s="55"/>
      <c r="H67" s="61"/>
      <c r="I67" s="72"/>
      <c r="J67" s="73"/>
      <c r="K67" s="55"/>
      <c r="L67" s="61"/>
      <c r="M67" s="72"/>
      <c r="N67" s="73"/>
      <c r="O67" s="55"/>
    </row>
    <row r="68" spans="1:15" ht="3" customHeight="1" x14ac:dyDescent="0.25">
      <c r="A68" s="47"/>
      <c r="B68" s="61"/>
      <c r="C68" s="42"/>
      <c r="D68" s="61"/>
      <c r="E68" s="47"/>
      <c r="F68" s="61"/>
      <c r="G68" s="42"/>
      <c r="H68" s="61"/>
      <c r="I68" s="47"/>
      <c r="J68" s="61"/>
      <c r="K68" s="42"/>
      <c r="L68" s="61"/>
      <c r="M68" s="47"/>
      <c r="N68" s="61"/>
      <c r="O68" s="42"/>
    </row>
    <row r="69" spans="1:15" ht="15.75" customHeight="1" x14ac:dyDescent="0.25">
      <c r="A69" s="74" t="s">
        <v>3</v>
      </c>
      <c r="B69" s="73" t="s">
        <v>110</v>
      </c>
      <c r="C69" s="57">
        <f>SUM(C63:C67)</f>
        <v>5413</v>
      </c>
      <c r="D69" s="61"/>
      <c r="E69" s="74" t="s">
        <v>3</v>
      </c>
      <c r="F69" s="73" t="s">
        <v>110</v>
      </c>
      <c r="G69" s="57">
        <f>SUM(G63:G67)</f>
        <v>2300</v>
      </c>
      <c r="H69" s="61"/>
      <c r="I69" s="74" t="s">
        <v>3</v>
      </c>
      <c r="J69" s="73" t="s">
        <v>110</v>
      </c>
      <c r="K69" s="57">
        <f>SUM(K63:K67)</f>
        <v>2000</v>
      </c>
      <c r="L69" s="61"/>
      <c r="M69" s="74" t="s">
        <v>3</v>
      </c>
      <c r="N69" s="73" t="s">
        <v>110</v>
      </c>
      <c r="O69" s="57">
        <f>SUM(O63:O67)</f>
        <v>3000</v>
      </c>
    </row>
    <row r="70" spans="1:15" ht="3" customHeight="1" x14ac:dyDescent="0.25">
      <c r="A70" s="47"/>
      <c r="B70" s="61"/>
      <c r="C70" s="60"/>
      <c r="D70" s="61"/>
      <c r="E70" s="47"/>
      <c r="F70" s="61"/>
      <c r="G70" s="60"/>
      <c r="H70" s="61"/>
      <c r="I70" s="47"/>
      <c r="J70" s="61"/>
      <c r="K70" s="60"/>
      <c r="L70" s="61"/>
      <c r="M70" s="47"/>
      <c r="N70" s="61"/>
      <c r="O70" s="60"/>
    </row>
    <row r="71" spans="1:15" ht="15.75" customHeight="1" x14ac:dyDescent="0.25">
      <c r="A71" s="75" t="s">
        <v>111</v>
      </c>
      <c r="B71" s="76">
        <f>B61</f>
        <v>45292</v>
      </c>
      <c r="C71" s="25">
        <f>C61+C69</f>
        <v>-620.65953177395477</v>
      </c>
      <c r="D71" s="45"/>
      <c r="E71" s="75" t="s">
        <v>111</v>
      </c>
      <c r="F71" s="76">
        <f>F61</f>
        <v>45323</v>
      </c>
      <c r="G71" s="25">
        <f>G61+G69</f>
        <v>-3193.3122943158714</v>
      </c>
      <c r="H71" s="45"/>
      <c r="I71" s="75" t="s">
        <v>111</v>
      </c>
      <c r="J71" s="76">
        <f>J61</f>
        <v>45352</v>
      </c>
      <c r="K71" s="25">
        <f>K61+K69</f>
        <v>-3508.8572778611415</v>
      </c>
      <c r="L71" s="45"/>
      <c r="M71" s="75" t="s">
        <v>111</v>
      </c>
      <c r="N71" s="76">
        <f>N61</f>
        <v>45383</v>
      </c>
      <c r="O71" s="25">
        <f>O61+O69</f>
        <v>-2849.6458600900323</v>
      </c>
    </row>
    <row r="72" spans="1:15" ht="3" customHeight="1" x14ac:dyDescent="0.25">
      <c r="A72" s="47"/>
      <c r="B72" s="61"/>
      <c r="C72" s="60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</row>
    <row r="73" spans="1:15" x14ac:dyDescent="0.25">
      <c r="A73" s="77"/>
      <c r="B73" s="63" t="s">
        <v>112</v>
      </c>
      <c r="C73" s="64">
        <f>IF(C71&lt;0,C71*8%,0)</f>
        <v>-49.652762541916381</v>
      </c>
      <c r="D73" s="61"/>
      <c r="E73" s="77"/>
      <c r="F73" s="63" t="s">
        <v>112</v>
      </c>
      <c r="G73" s="64">
        <f>IF(G71&lt;0,G71*8%,0)</f>
        <v>-255.46498354526972</v>
      </c>
      <c r="H73" s="61"/>
      <c r="I73" s="77"/>
      <c r="J73" s="63" t="s">
        <v>112</v>
      </c>
      <c r="K73" s="64">
        <f>IF(K71&lt;0,K71*8%,0)</f>
        <v>-280.70858222889132</v>
      </c>
      <c r="L73" s="61"/>
      <c r="M73" s="77"/>
      <c r="N73" s="63" t="s">
        <v>112</v>
      </c>
      <c r="O73" s="64">
        <f>IF(O71&lt;0,O71*8%,0)</f>
        <v>-227.9716688072026</v>
      </c>
    </row>
    <row r="74" spans="1:15" ht="3" customHeight="1" x14ac:dyDescent="0.25"/>
    <row r="75" spans="1:15" ht="20.25" customHeight="1" x14ac:dyDescent="0.3">
      <c r="A75" s="112" t="str">
        <f>UPPER(TEXT(A77,"mmmm")&amp;" "&amp;TEXT(A77,"aaaa"))</f>
        <v>MAIO 2024</v>
      </c>
      <c r="B75" s="113"/>
      <c r="C75" s="113"/>
      <c r="D75" s="81"/>
      <c r="E75" s="112" t="str">
        <f>UPPER(TEXT(E77,"mmmm")&amp;" "&amp;TEXT(E77,"aaaa"))</f>
        <v>JUNHO 2024</v>
      </c>
      <c r="F75" s="113"/>
      <c r="G75" s="113"/>
      <c r="H75" s="81"/>
      <c r="I75" s="112" t="str">
        <f>UPPER(TEXT(I77,"mmmm")&amp;" "&amp;TEXT(I77,"aaaa"))</f>
        <v>JULHO 2024</v>
      </c>
      <c r="J75" s="113"/>
      <c r="K75" s="113"/>
      <c r="L75" s="81"/>
      <c r="M75" s="112" t="str">
        <f>UPPER(TEXT(M77,"mmmm")&amp;" "&amp;TEXT(M77,"aaaa"))</f>
        <v>AGOSTO 2024</v>
      </c>
      <c r="N75" s="113"/>
      <c r="O75" s="113"/>
    </row>
    <row r="76" spans="1:15" x14ac:dyDescent="0.25">
      <c r="A76" s="47" t="s">
        <v>97</v>
      </c>
      <c r="B76" s="48" t="s">
        <v>98</v>
      </c>
      <c r="C76" s="49" t="s">
        <v>99</v>
      </c>
      <c r="D76" s="81"/>
      <c r="E76" s="47" t="s">
        <v>97</v>
      </c>
      <c r="F76" s="48" t="s">
        <v>98</v>
      </c>
      <c r="G76" s="49" t="s">
        <v>99</v>
      </c>
      <c r="H76" s="81"/>
      <c r="I76" s="47" t="s">
        <v>97</v>
      </c>
      <c r="J76" s="48" t="s">
        <v>98</v>
      </c>
      <c r="K76" s="49" t="s">
        <v>99</v>
      </c>
      <c r="L76" s="81"/>
      <c r="M76" s="47" t="s">
        <v>97</v>
      </c>
      <c r="N76" s="48" t="s">
        <v>98</v>
      </c>
      <c r="O76" s="49" t="s">
        <v>99</v>
      </c>
    </row>
    <row r="77" spans="1:15" x14ac:dyDescent="0.25">
      <c r="A77" s="66">
        <v>45413</v>
      </c>
      <c r="B77" s="67" t="str">
        <f>"SALDO "&amp;UPPER(TEXT(A77-1,"mmmm"))</f>
        <v>SALDO ABRIL</v>
      </c>
      <c r="C77" s="32">
        <f>O71</f>
        <v>-2849.6458600900323</v>
      </c>
      <c r="D77" s="45"/>
      <c r="E77" s="66">
        <v>45444</v>
      </c>
      <c r="F77" s="67" t="str">
        <f>"SALDO "&amp;UPPER(TEXT(E77-1,"mmmm"))</f>
        <v>SALDO MAIO</v>
      </c>
      <c r="G77" s="32">
        <f>C94</f>
        <v>-2909.7258600900323</v>
      </c>
      <c r="H77" s="45"/>
      <c r="I77" s="66">
        <v>45474</v>
      </c>
      <c r="J77" s="67" t="str">
        <f>"SALDO "&amp;UPPER(TEXT(I77-1,"mmmm"))</f>
        <v>SALDO JUNHO</v>
      </c>
      <c r="K77" s="32">
        <f>G94</f>
        <v>-3202.5839288972347</v>
      </c>
      <c r="L77" s="45"/>
      <c r="M77" s="66">
        <v>45505</v>
      </c>
      <c r="N77" s="67" t="str">
        <f>"SALDO "&amp;UPPER(TEXT(M77-1,"mmmm"))</f>
        <v>SALDO JULHO</v>
      </c>
      <c r="O77" s="32">
        <f>K94</f>
        <v>-3018.870643209013</v>
      </c>
    </row>
    <row r="78" spans="1:15" x14ac:dyDescent="0.25">
      <c r="A78" s="66">
        <f>A77+28</f>
        <v>45441</v>
      </c>
      <c r="B78" s="67" t="s">
        <v>53</v>
      </c>
      <c r="C78" s="58">
        <v>-2060.08</v>
      </c>
      <c r="D78" s="45"/>
      <c r="E78" s="66">
        <f>E77+28</f>
        <v>45472</v>
      </c>
      <c r="F78" s="67" t="s">
        <v>54</v>
      </c>
      <c r="G78" s="58">
        <v>-2060.08</v>
      </c>
      <c r="H78" s="45"/>
      <c r="I78" s="66">
        <f>I77+28</f>
        <v>45502</v>
      </c>
      <c r="J78" s="67" t="s">
        <v>55</v>
      </c>
      <c r="K78" s="58">
        <v>-2060.08</v>
      </c>
      <c r="L78" s="45"/>
      <c r="M78" s="66">
        <f>M77+28</f>
        <v>45533</v>
      </c>
      <c r="N78" s="67" t="s">
        <v>56</v>
      </c>
      <c r="O78" s="58">
        <v>-2060.08</v>
      </c>
    </row>
    <row r="79" spans="1:15" x14ac:dyDescent="0.25">
      <c r="A79" s="66"/>
      <c r="B79" s="67"/>
      <c r="C79" s="32"/>
      <c r="D79" s="45"/>
      <c r="E79" s="66"/>
      <c r="F79" s="67"/>
      <c r="G79" s="32"/>
      <c r="H79" s="45"/>
      <c r="I79" s="66"/>
      <c r="J79" s="67"/>
      <c r="K79" s="32"/>
      <c r="L79" s="45"/>
      <c r="M79" s="66"/>
      <c r="N79" s="67"/>
      <c r="O79" s="32"/>
    </row>
    <row r="80" spans="1:15" x14ac:dyDescent="0.25">
      <c r="A80" s="66"/>
      <c r="B80" s="67"/>
      <c r="C80" s="32"/>
      <c r="D80" s="45"/>
      <c r="E80" s="66"/>
      <c r="F80" s="67"/>
      <c r="G80" s="32"/>
      <c r="H80" s="45"/>
      <c r="I80" s="66"/>
      <c r="J80" s="67"/>
      <c r="K80" s="32"/>
      <c r="L80" s="45"/>
      <c r="M80" s="66"/>
      <c r="N80" s="67"/>
      <c r="O80" s="32"/>
    </row>
    <row r="81" spans="1:16" x14ac:dyDescent="0.25">
      <c r="A81" s="66"/>
      <c r="B81" s="67"/>
      <c r="C81" s="32"/>
      <c r="D81" s="45"/>
      <c r="E81" s="66"/>
      <c r="F81" s="67"/>
      <c r="G81" s="32"/>
      <c r="H81" s="45"/>
      <c r="I81" s="66"/>
      <c r="J81" s="67"/>
      <c r="K81" s="32"/>
      <c r="L81" s="45"/>
      <c r="M81" s="66"/>
      <c r="N81" s="67"/>
      <c r="O81" s="32"/>
    </row>
    <row r="82" spans="1:16" x14ac:dyDescent="0.25">
      <c r="A82" s="66">
        <f>IF(O73&lt;0,A77,"")</f>
        <v>45413</v>
      </c>
      <c r="B82" s="67" t="str">
        <f>IF(O73&lt;0,"Juros 8% Mês "&amp;M52,"")</f>
        <v>Juros 8% Mês ABRIL 2024</v>
      </c>
      <c r="C82" s="32">
        <f>'05-08 de 23'!O120</f>
        <v>0</v>
      </c>
      <c r="D82" s="45"/>
      <c r="E82" s="66">
        <f>IF(C96&lt;0,E77,"")</f>
        <v>45444</v>
      </c>
      <c r="F82" s="67" t="str">
        <f>IF(C96&lt;0,"Juros 8% Mês "&amp;A75,"")</f>
        <v>Juros 8% Mês MAIO 2024</v>
      </c>
      <c r="G82" s="32">
        <f>C96</f>
        <v>-232.77806880720257</v>
      </c>
      <c r="H82" s="45"/>
      <c r="I82" s="66">
        <f>IF(G96&lt;0,I77,"")</f>
        <v>45474</v>
      </c>
      <c r="J82" s="67" t="str">
        <f>IF(G96&lt;0,"Juros 8% Mês "&amp;E75,"")</f>
        <v>Juros 8% Mês JUNHO 2024</v>
      </c>
      <c r="K82" s="32">
        <f>G96</f>
        <v>-256.2067143117788</v>
      </c>
      <c r="L82" s="45"/>
      <c r="M82" s="66">
        <f>IF(K96&lt;0,M77,"")</f>
        <v>45505</v>
      </c>
      <c r="N82" s="67" t="str">
        <f>IF(K96&lt;0,"Juros 8% Mês "&amp;I75,"")</f>
        <v>Juros 8% Mês JULHO 2024</v>
      </c>
      <c r="O82" s="32">
        <f>K96</f>
        <v>-241.50965145672103</v>
      </c>
    </row>
    <row r="83" spans="1:16" ht="3" customHeight="1" x14ac:dyDescent="0.25">
      <c r="A83" s="82"/>
      <c r="B83" s="45"/>
      <c r="C83" s="38"/>
      <c r="D83" s="45"/>
      <c r="E83" s="82"/>
      <c r="F83" s="45"/>
      <c r="G83" s="38"/>
      <c r="H83" s="45"/>
      <c r="I83" s="82"/>
      <c r="J83" s="45"/>
      <c r="K83" s="38"/>
      <c r="L83" s="45"/>
      <c r="M83" s="82"/>
      <c r="N83" s="45"/>
      <c r="O83" s="38"/>
    </row>
    <row r="84" spans="1:16" ht="15.75" customHeight="1" x14ac:dyDescent="0.25">
      <c r="A84" s="68" t="s">
        <v>109</v>
      </c>
      <c r="B84" s="69">
        <f>A77</f>
        <v>45413</v>
      </c>
      <c r="C84" s="52">
        <f>SUM(C77:C82)</f>
        <v>-4909.7258600900323</v>
      </c>
      <c r="D84" s="45"/>
      <c r="E84" s="68" t="s">
        <v>109</v>
      </c>
      <c r="F84" s="69">
        <f>E77</f>
        <v>45444</v>
      </c>
      <c r="G84" s="52">
        <f>SUM(G77:G82)</f>
        <v>-5202.5839288972347</v>
      </c>
      <c r="H84" s="45"/>
      <c r="I84" s="68" t="s">
        <v>109</v>
      </c>
      <c r="J84" s="69">
        <f>I77</f>
        <v>45474</v>
      </c>
      <c r="K84" s="52">
        <f>SUM(K77:K82)</f>
        <v>-5518.870643209013</v>
      </c>
      <c r="L84" s="45"/>
      <c r="M84" s="68" t="s">
        <v>109</v>
      </c>
      <c r="N84" s="69">
        <f>M77</f>
        <v>45505</v>
      </c>
      <c r="O84" s="52">
        <f>SUM(O77:O82)</f>
        <v>-5320.4602946657342</v>
      </c>
    </row>
    <row r="85" spans="1:16" ht="3" customHeight="1" x14ac:dyDescent="0.25">
      <c r="A85" s="83"/>
      <c r="B85" s="45"/>
      <c r="C85" s="40"/>
      <c r="D85" s="45"/>
      <c r="E85" s="83"/>
      <c r="F85" s="45"/>
      <c r="G85" s="40"/>
      <c r="H85" s="45"/>
      <c r="I85" s="83"/>
      <c r="J85" s="45"/>
      <c r="K85" s="40"/>
      <c r="L85" s="45"/>
      <c r="M85" s="83"/>
      <c r="N85" s="45"/>
      <c r="O85" s="40"/>
    </row>
    <row r="86" spans="1:16" x14ac:dyDescent="0.25">
      <c r="A86" s="92">
        <v>45450</v>
      </c>
      <c r="B86" s="93" t="s">
        <v>145</v>
      </c>
      <c r="C86" s="94">
        <v>2000</v>
      </c>
      <c r="D86" s="61"/>
      <c r="E86" s="92">
        <v>45477</v>
      </c>
      <c r="F86" s="93" t="s">
        <v>144</v>
      </c>
      <c r="G86" s="94">
        <v>2000</v>
      </c>
      <c r="H86" s="61"/>
      <c r="I86" s="72">
        <v>45516</v>
      </c>
      <c r="J86" s="73" t="s">
        <v>144</v>
      </c>
      <c r="K86" s="55">
        <v>500</v>
      </c>
      <c r="L86" s="61"/>
      <c r="M86" s="72">
        <v>45534</v>
      </c>
      <c r="N86" s="73" t="s">
        <v>144</v>
      </c>
      <c r="O86" s="55">
        <v>1500</v>
      </c>
    </row>
    <row r="87" spans="1:16" x14ac:dyDescent="0.25">
      <c r="A87" s="72"/>
      <c r="B87" s="73"/>
      <c r="C87" s="55"/>
      <c r="D87" s="61"/>
      <c r="E87" s="72"/>
      <c r="F87" s="73"/>
      <c r="G87" s="55"/>
      <c r="H87" s="61"/>
      <c r="I87" s="72">
        <v>45518</v>
      </c>
      <c r="J87" s="73" t="s">
        <v>144</v>
      </c>
      <c r="K87" s="55">
        <v>2000</v>
      </c>
      <c r="L87" s="61"/>
      <c r="M87" s="72">
        <v>45551</v>
      </c>
      <c r="N87" s="73" t="s">
        <v>144</v>
      </c>
      <c r="O87" s="55">
        <v>500</v>
      </c>
    </row>
    <row r="88" spans="1:16" x14ac:dyDescent="0.25">
      <c r="A88" s="72"/>
      <c r="B88" s="73"/>
      <c r="C88" s="55"/>
      <c r="D88" s="61"/>
      <c r="E88" s="72"/>
      <c r="F88" s="73"/>
      <c r="G88" s="55"/>
      <c r="H88" s="61"/>
      <c r="I88" s="72"/>
      <c r="J88" s="73"/>
      <c r="K88" s="55"/>
      <c r="L88" s="61"/>
      <c r="M88" s="72"/>
      <c r="N88" s="73"/>
      <c r="O88" s="55"/>
      <c r="P88" s="107"/>
    </row>
    <row r="89" spans="1:16" x14ac:dyDescent="0.25">
      <c r="A89" s="72"/>
      <c r="B89" s="73"/>
      <c r="C89" s="55"/>
      <c r="D89" s="61"/>
      <c r="E89" s="72"/>
      <c r="F89" s="73"/>
      <c r="G89" s="55"/>
      <c r="H89" s="61"/>
      <c r="I89" s="72"/>
      <c r="J89" s="73"/>
      <c r="K89" s="55"/>
      <c r="L89" s="61"/>
      <c r="M89" s="72"/>
      <c r="N89" s="73"/>
      <c r="O89" s="55"/>
    </row>
    <row r="90" spans="1:16" x14ac:dyDescent="0.25">
      <c r="A90" s="72"/>
      <c r="B90" s="73"/>
      <c r="C90" s="55"/>
      <c r="D90" s="61"/>
      <c r="E90" s="72"/>
      <c r="F90" s="73"/>
      <c r="G90" s="55"/>
      <c r="H90" s="61"/>
      <c r="I90" s="72"/>
      <c r="J90" s="73"/>
      <c r="K90" s="55"/>
      <c r="L90" s="61"/>
      <c r="M90" s="72"/>
      <c r="N90" s="73"/>
      <c r="O90" s="55"/>
      <c r="P90" s="107"/>
    </row>
    <row r="91" spans="1:16" ht="3" customHeight="1" x14ac:dyDescent="0.25">
      <c r="A91" s="82"/>
      <c r="B91" s="45"/>
      <c r="C91" s="38"/>
      <c r="D91" s="45"/>
      <c r="E91" s="82"/>
      <c r="F91" s="45"/>
      <c r="G91" s="38"/>
      <c r="H91" s="61"/>
      <c r="I91" s="82"/>
      <c r="J91" s="45"/>
      <c r="K91" s="38"/>
      <c r="L91" s="61"/>
      <c r="M91" s="82"/>
      <c r="N91" s="45"/>
      <c r="O91" s="38"/>
    </row>
    <row r="92" spans="1:16" ht="15.75" customHeight="1" x14ac:dyDescent="0.25">
      <c r="A92" s="74" t="s">
        <v>3</v>
      </c>
      <c r="B92" s="73" t="s">
        <v>110</v>
      </c>
      <c r="C92" s="57">
        <f>SUM(C86:C90)</f>
        <v>2000</v>
      </c>
      <c r="D92" s="61"/>
      <c r="E92" s="74" t="s">
        <v>3</v>
      </c>
      <c r="F92" s="73" t="s">
        <v>110</v>
      </c>
      <c r="G92" s="57">
        <f>SUM(G86:G90)</f>
        <v>2000</v>
      </c>
      <c r="H92" s="61"/>
      <c r="I92" s="74" t="s">
        <v>3</v>
      </c>
      <c r="J92" s="73" t="s">
        <v>110</v>
      </c>
      <c r="K92" s="57">
        <f>SUM(K86:K90)</f>
        <v>2500</v>
      </c>
      <c r="L92" s="61"/>
      <c r="M92" s="74" t="s">
        <v>3</v>
      </c>
      <c r="N92" s="73" t="s">
        <v>110</v>
      </c>
      <c r="O92" s="57">
        <f>SUM(O86:O90)</f>
        <v>2000</v>
      </c>
    </row>
    <row r="93" spans="1:16" ht="3" customHeight="1" x14ac:dyDescent="0.25">
      <c r="A93" s="82"/>
      <c r="B93" s="45"/>
      <c r="C93" s="44"/>
      <c r="D93" s="45"/>
      <c r="E93" s="82"/>
      <c r="F93" s="45"/>
      <c r="G93" s="44"/>
      <c r="H93" s="45"/>
      <c r="I93" s="82"/>
      <c r="J93" s="45"/>
      <c r="K93" s="44"/>
      <c r="L93" s="45"/>
      <c r="M93" s="82"/>
      <c r="N93" s="45"/>
      <c r="O93" s="44"/>
    </row>
    <row r="94" spans="1:16" ht="15.75" customHeight="1" x14ac:dyDescent="0.25">
      <c r="A94" s="75" t="s">
        <v>111</v>
      </c>
      <c r="B94" s="76">
        <f>B84</f>
        <v>45413</v>
      </c>
      <c r="C94" s="25">
        <f>C84+C92</f>
        <v>-2909.7258600900323</v>
      </c>
      <c r="D94" s="45"/>
      <c r="E94" s="75" t="s">
        <v>111</v>
      </c>
      <c r="F94" s="76">
        <f>F84</f>
        <v>45444</v>
      </c>
      <c r="G94" s="25">
        <f>G84+G92</f>
        <v>-3202.5839288972347</v>
      </c>
      <c r="H94" s="45"/>
      <c r="I94" s="75" t="s">
        <v>111</v>
      </c>
      <c r="J94" s="76">
        <f>J84</f>
        <v>45474</v>
      </c>
      <c r="K94" s="25">
        <f>K84+K92</f>
        <v>-3018.870643209013</v>
      </c>
      <c r="L94" s="45"/>
      <c r="M94" s="75" t="s">
        <v>111</v>
      </c>
      <c r="N94" s="76">
        <f>N84</f>
        <v>45505</v>
      </c>
      <c r="O94" s="25">
        <f>O84+O92</f>
        <v>-3320.4602946657342</v>
      </c>
    </row>
    <row r="95" spans="1:16" ht="3" customHeight="1" x14ac:dyDescent="0.25">
      <c r="A95" s="82"/>
      <c r="B95" s="45"/>
      <c r="C95" s="44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</row>
    <row r="96" spans="1:16" x14ac:dyDescent="0.25">
      <c r="A96" s="77"/>
      <c r="B96" s="63" t="s">
        <v>112</v>
      </c>
      <c r="C96" s="64">
        <f>IF(C94&lt;0,C94*8%,0)</f>
        <v>-232.77806880720257</v>
      </c>
      <c r="D96" s="61"/>
      <c r="E96" s="77"/>
      <c r="F96" s="63" t="s">
        <v>112</v>
      </c>
      <c r="G96" s="64">
        <f>IF(G94&lt;0,G94*8%,0)</f>
        <v>-256.2067143117788</v>
      </c>
      <c r="H96" s="61"/>
      <c r="I96" s="77"/>
      <c r="J96" s="63" t="s">
        <v>112</v>
      </c>
      <c r="K96" s="64">
        <f>IF(K94&lt;0,K94*8%,0)</f>
        <v>-241.50965145672103</v>
      </c>
      <c r="L96" s="61"/>
      <c r="M96" s="77"/>
      <c r="N96" s="63" t="s">
        <v>112</v>
      </c>
      <c r="O96" s="64">
        <f>IF(O94&lt;0,O94*8%,0)</f>
        <v>-265.63682357325877</v>
      </c>
    </row>
    <row r="97" spans="1:15" ht="3" customHeight="1" x14ac:dyDescent="0.25"/>
    <row r="98" spans="1:15" ht="20.25" customHeight="1" x14ac:dyDescent="0.3">
      <c r="A98" s="112" t="str">
        <f>UPPER(TEXT(A100,"mmmm")&amp;" "&amp;TEXT(A100,"aaaa"))</f>
        <v>SETEMBRO 2024</v>
      </c>
      <c r="B98" s="113"/>
      <c r="C98" s="113"/>
      <c r="D98" s="81"/>
      <c r="E98" s="112" t="str">
        <f>UPPER(TEXT(E100,"mmmm")&amp;" "&amp;TEXT(E100,"aaaa"))</f>
        <v>OUTUBRO 2024</v>
      </c>
      <c r="F98" s="113"/>
      <c r="G98" s="113"/>
      <c r="H98" s="81"/>
      <c r="I98" s="112" t="str">
        <f>UPPER(TEXT(I100,"mmmm")&amp;" "&amp;TEXT(I100,"aaaa"))</f>
        <v>NOVEMBRO 2024</v>
      </c>
      <c r="J98" s="113"/>
      <c r="K98" s="113"/>
      <c r="L98" s="81"/>
      <c r="M98" s="112" t="str">
        <f>UPPER(TEXT(M100,"mmmm")&amp;" "&amp;TEXT(M100,"aaaa"))</f>
        <v>DEZEMBRO 2024</v>
      </c>
      <c r="N98" s="113"/>
      <c r="O98" s="113"/>
    </row>
    <row r="99" spans="1:15" x14ac:dyDescent="0.25">
      <c r="A99" s="47" t="s">
        <v>97</v>
      </c>
      <c r="B99" s="48" t="s">
        <v>98</v>
      </c>
      <c r="C99" s="49" t="s">
        <v>99</v>
      </c>
      <c r="D99" s="81"/>
      <c r="E99" s="47" t="s">
        <v>97</v>
      </c>
      <c r="F99" s="48" t="s">
        <v>98</v>
      </c>
      <c r="G99" s="49" t="s">
        <v>99</v>
      </c>
      <c r="H99" s="81"/>
      <c r="I99" s="47" t="s">
        <v>97</v>
      </c>
      <c r="J99" s="48" t="s">
        <v>98</v>
      </c>
      <c r="K99" s="49" t="s">
        <v>99</v>
      </c>
      <c r="L99" s="81"/>
      <c r="M99" s="47" t="s">
        <v>97</v>
      </c>
      <c r="N99" s="48" t="s">
        <v>98</v>
      </c>
      <c r="O99" s="49" t="s">
        <v>99</v>
      </c>
    </row>
    <row r="100" spans="1:15" x14ac:dyDescent="0.25">
      <c r="A100" s="66">
        <v>45536</v>
      </c>
      <c r="B100" s="67" t="str">
        <f>"SALDO "&amp;UPPER(TEXT(A100-1,"mmmm"))</f>
        <v>SALDO AGOSTO</v>
      </c>
      <c r="C100" s="32">
        <f>O94</f>
        <v>-3320.4602946657342</v>
      </c>
      <c r="D100" s="45"/>
      <c r="E100" s="66">
        <v>45566</v>
      </c>
      <c r="F100" s="67" t="str">
        <f>"SALDO "&amp;UPPER(TEXT(E100-1,"mmmm"))</f>
        <v>SALDO SETEMBRO</v>
      </c>
      <c r="G100" s="32">
        <f>C117</f>
        <v>-2773.5402946657341</v>
      </c>
      <c r="H100" s="45"/>
      <c r="I100" s="66">
        <v>45597</v>
      </c>
      <c r="J100" s="67" t="str">
        <f>"SALDO "&amp;UPPER(TEXT(I100-1,"mmmm"))</f>
        <v>SALDO OUTUBRO</v>
      </c>
      <c r="K100" s="32">
        <f>G117</f>
        <v>-2763.620294665734</v>
      </c>
      <c r="L100" s="45"/>
      <c r="M100" s="66">
        <v>45627</v>
      </c>
      <c r="N100" s="67" t="str">
        <f>"SALDO "&amp;UPPER(TEXT(M100-1,"mmmm"))</f>
        <v>SALDO NOVEMBRO</v>
      </c>
      <c r="O100" s="32">
        <f>K117</f>
        <v>-2823.700294665734</v>
      </c>
    </row>
    <row r="101" spans="1:15" x14ac:dyDescent="0.25">
      <c r="A101" s="66">
        <f>A100+28</f>
        <v>45564</v>
      </c>
      <c r="B101" s="67" t="s">
        <v>57</v>
      </c>
      <c r="C101" s="58">
        <v>-2060.08</v>
      </c>
      <c r="D101" s="45"/>
      <c r="E101" s="66">
        <f>E100+28</f>
        <v>45594</v>
      </c>
      <c r="F101" s="67" t="s">
        <v>58</v>
      </c>
      <c r="G101" s="58">
        <v>-2060.08</v>
      </c>
      <c r="H101" s="45"/>
      <c r="I101" s="66">
        <f>I100+28</f>
        <v>45625</v>
      </c>
      <c r="J101" s="67" t="s">
        <v>53</v>
      </c>
      <c r="K101" s="58">
        <v>-2060.08</v>
      </c>
      <c r="L101" s="45"/>
      <c r="M101" s="66">
        <f>M100+28</f>
        <v>45655</v>
      </c>
      <c r="N101" s="67" t="s">
        <v>53</v>
      </c>
      <c r="O101" s="58">
        <v>-2060.08</v>
      </c>
    </row>
    <row r="102" spans="1:15" x14ac:dyDescent="0.25">
      <c r="A102" s="66"/>
      <c r="B102" s="67"/>
      <c r="C102" s="32"/>
      <c r="D102" s="45"/>
      <c r="E102" s="66"/>
      <c r="F102" s="67"/>
      <c r="G102" s="32"/>
      <c r="H102" s="45"/>
      <c r="I102" s="66"/>
      <c r="J102" s="67"/>
      <c r="K102" s="32"/>
      <c r="L102" s="45"/>
      <c r="M102" s="66"/>
      <c r="N102" s="67"/>
      <c r="O102" s="32"/>
    </row>
    <row r="103" spans="1:15" x14ac:dyDescent="0.25">
      <c r="A103" s="66"/>
      <c r="B103" s="67"/>
      <c r="C103" s="32"/>
      <c r="D103" s="45"/>
      <c r="E103" s="66"/>
      <c r="F103" s="67"/>
      <c r="G103" s="32"/>
      <c r="H103" s="45"/>
      <c r="I103" s="66"/>
      <c r="J103" s="67"/>
      <c r="K103" s="32"/>
      <c r="L103" s="45"/>
      <c r="M103" s="66"/>
      <c r="N103" s="67"/>
      <c r="O103" s="32"/>
    </row>
    <row r="104" spans="1:15" x14ac:dyDescent="0.25">
      <c r="A104" s="66"/>
      <c r="B104" s="67"/>
      <c r="C104" s="32"/>
      <c r="D104" s="45"/>
      <c r="E104" s="66"/>
      <c r="F104" s="67"/>
      <c r="G104" s="32"/>
      <c r="H104" s="45"/>
      <c r="I104" s="66"/>
      <c r="J104" s="67"/>
      <c r="K104" s="32"/>
      <c r="L104" s="45"/>
      <c r="M104" s="66"/>
      <c r="N104" s="67"/>
      <c r="O104" s="32"/>
    </row>
    <row r="105" spans="1:15" x14ac:dyDescent="0.25">
      <c r="A105" s="66"/>
      <c r="B105" s="67"/>
      <c r="C105" s="32"/>
      <c r="D105" s="45"/>
      <c r="E105" s="66"/>
      <c r="F105" s="67"/>
      <c r="G105" s="32"/>
      <c r="H105" s="45"/>
      <c r="I105" s="66"/>
      <c r="J105" s="67"/>
      <c r="K105" s="32"/>
      <c r="L105" s="45"/>
      <c r="M105" s="66"/>
      <c r="N105" s="67"/>
      <c r="O105" s="32"/>
    </row>
    <row r="106" spans="1:15" ht="3" customHeight="1" x14ac:dyDescent="0.25">
      <c r="A106" s="82"/>
      <c r="B106" s="45"/>
      <c r="C106" s="38"/>
      <c r="D106" s="45"/>
      <c r="E106" s="82"/>
      <c r="F106" s="45"/>
      <c r="G106" s="38"/>
      <c r="H106" s="45"/>
      <c r="I106" s="82"/>
      <c r="J106" s="45"/>
      <c r="K106" s="38"/>
      <c r="L106" s="45"/>
      <c r="M106" s="82"/>
      <c r="N106" s="45"/>
      <c r="O106" s="38"/>
    </row>
    <row r="107" spans="1:15" ht="15.75" customHeight="1" x14ac:dyDescent="0.25">
      <c r="A107" s="68" t="s">
        <v>109</v>
      </c>
      <c r="B107" s="69">
        <f>A100</f>
        <v>45536</v>
      </c>
      <c r="C107" s="52">
        <f>SUM(C100:C105)</f>
        <v>-5380.5402946657341</v>
      </c>
      <c r="D107" s="45"/>
      <c r="E107" s="68" t="s">
        <v>109</v>
      </c>
      <c r="F107" s="69">
        <f>E100</f>
        <v>45566</v>
      </c>
      <c r="G107" s="52">
        <f>SUM(G100:G105)</f>
        <v>-4833.620294665734</v>
      </c>
      <c r="H107" s="45"/>
      <c r="I107" s="68" t="s">
        <v>109</v>
      </c>
      <c r="J107" s="69">
        <f>I100</f>
        <v>45597</v>
      </c>
      <c r="K107" s="52">
        <f>SUM(K100:K105)</f>
        <v>-4823.700294665734</v>
      </c>
      <c r="L107" s="45"/>
      <c r="M107" s="68" t="s">
        <v>109</v>
      </c>
      <c r="N107" s="69">
        <f>M100</f>
        <v>45627</v>
      </c>
      <c r="O107" s="52">
        <f>SUM(O100:O105)</f>
        <v>-4883.7802946657339</v>
      </c>
    </row>
    <row r="108" spans="1:15" ht="3" customHeight="1" x14ac:dyDescent="0.25">
      <c r="A108" s="83"/>
      <c r="B108" s="45"/>
      <c r="C108" s="40"/>
      <c r="D108" s="45"/>
      <c r="E108" s="83"/>
      <c r="F108" s="45"/>
      <c r="G108" s="40"/>
      <c r="H108" s="45"/>
      <c r="I108" s="83"/>
      <c r="J108" s="45"/>
      <c r="K108" s="40"/>
      <c r="L108" s="45"/>
      <c r="M108" s="83"/>
      <c r="N108" s="45"/>
      <c r="O108" s="40"/>
    </row>
    <row r="109" spans="1:15" x14ac:dyDescent="0.25">
      <c r="A109" s="72">
        <v>45571</v>
      </c>
      <c r="B109" s="73" t="s">
        <v>144</v>
      </c>
      <c r="C109" s="55">
        <v>2000</v>
      </c>
      <c r="D109" s="61"/>
      <c r="E109" s="72">
        <v>45595</v>
      </c>
      <c r="F109" s="73" t="s">
        <v>150</v>
      </c>
      <c r="G109" s="55">
        <v>1900</v>
      </c>
      <c r="H109" s="61"/>
      <c r="I109" s="72">
        <v>45628</v>
      </c>
      <c r="J109" s="73" t="s">
        <v>144</v>
      </c>
      <c r="K109" s="55">
        <v>2000</v>
      </c>
      <c r="L109" s="61"/>
      <c r="M109" s="72">
        <v>45656</v>
      </c>
      <c r="N109" s="73" t="s">
        <v>144</v>
      </c>
      <c r="O109" s="55">
        <v>2060</v>
      </c>
    </row>
    <row r="110" spans="1:15" x14ac:dyDescent="0.25">
      <c r="A110" s="72">
        <v>45572</v>
      </c>
      <c r="B110" s="73" t="s">
        <v>144</v>
      </c>
      <c r="C110" s="55">
        <v>607</v>
      </c>
      <c r="D110" s="61"/>
      <c r="E110" s="72">
        <v>45595</v>
      </c>
      <c r="F110" s="73" t="s">
        <v>151</v>
      </c>
      <c r="G110" s="55">
        <v>170</v>
      </c>
      <c r="H110" s="61"/>
      <c r="I110" s="72"/>
      <c r="J110" s="73"/>
      <c r="K110" s="55"/>
      <c r="L110" s="61"/>
      <c r="M110" s="72"/>
      <c r="N110" s="73"/>
      <c r="O110" s="55"/>
    </row>
    <row r="111" spans="1:15" x14ac:dyDescent="0.25">
      <c r="A111" s="72"/>
      <c r="B111" s="73"/>
      <c r="C111" s="55"/>
      <c r="D111" s="61"/>
      <c r="E111" s="72"/>
      <c r="F111" s="73"/>
      <c r="G111" s="55"/>
      <c r="H111" s="61"/>
      <c r="I111" s="72"/>
      <c r="J111" s="73"/>
      <c r="K111" s="55"/>
      <c r="L111" s="61"/>
      <c r="M111" s="72"/>
      <c r="N111" s="73"/>
      <c r="O111" s="55"/>
    </row>
    <row r="112" spans="1:15" x14ac:dyDescent="0.25">
      <c r="A112" s="72"/>
      <c r="B112" s="73"/>
      <c r="C112" s="55"/>
      <c r="D112" s="61"/>
      <c r="E112" s="72"/>
      <c r="F112" s="73"/>
      <c r="G112" s="55"/>
      <c r="H112" s="61"/>
      <c r="I112" s="72"/>
      <c r="J112" s="73"/>
      <c r="K112" s="55"/>
      <c r="L112" s="61"/>
      <c r="M112" s="72"/>
      <c r="N112" s="73"/>
      <c r="O112" s="55"/>
    </row>
    <row r="113" spans="1:15" x14ac:dyDescent="0.25">
      <c r="A113" s="72"/>
      <c r="B113" s="73"/>
      <c r="C113" s="55"/>
      <c r="D113" s="61"/>
      <c r="E113" s="72"/>
      <c r="F113" s="73"/>
      <c r="G113" s="55"/>
      <c r="H113" s="61"/>
      <c r="I113" s="72"/>
      <c r="J113" s="73"/>
      <c r="K113" s="55"/>
      <c r="L113" s="61"/>
      <c r="M113" s="72"/>
      <c r="N113" s="73"/>
      <c r="O113" s="55"/>
    </row>
    <row r="114" spans="1:15" ht="3" customHeight="1" x14ac:dyDescent="0.25">
      <c r="A114" s="82"/>
      <c r="B114" s="45"/>
      <c r="C114" s="38"/>
      <c r="D114" s="45"/>
      <c r="E114" s="82"/>
      <c r="F114" s="45"/>
      <c r="G114" s="38"/>
      <c r="H114" s="61"/>
      <c r="I114" s="82"/>
      <c r="J114" s="45"/>
      <c r="K114" s="38"/>
      <c r="L114" s="61"/>
      <c r="M114" s="82"/>
      <c r="N114" s="45"/>
      <c r="O114" s="38"/>
    </row>
    <row r="115" spans="1:15" ht="15.75" customHeight="1" x14ac:dyDescent="0.25">
      <c r="A115" s="74" t="s">
        <v>3</v>
      </c>
      <c r="B115" s="73" t="s">
        <v>110</v>
      </c>
      <c r="C115" s="57">
        <f>SUM(C109:C113)</f>
        <v>2607</v>
      </c>
      <c r="D115" s="61"/>
      <c r="E115" s="74" t="s">
        <v>3</v>
      </c>
      <c r="F115" s="73" t="s">
        <v>110</v>
      </c>
      <c r="G115" s="57">
        <f>SUM(G109:G113)</f>
        <v>2070</v>
      </c>
      <c r="H115" s="61"/>
      <c r="I115" s="74" t="s">
        <v>3</v>
      </c>
      <c r="J115" s="73" t="s">
        <v>110</v>
      </c>
      <c r="K115" s="57">
        <f>SUM(K109:K113)</f>
        <v>2000</v>
      </c>
      <c r="L115" s="61"/>
      <c r="M115" s="74" t="s">
        <v>3</v>
      </c>
      <c r="N115" s="73" t="s">
        <v>110</v>
      </c>
      <c r="O115" s="57">
        <f>SUM(O109:O113)</f>
        <v>2060</v>
      </c>
    </row>
    <row r="116" spans="1:15" ht="3" customHeight="1" x14ac:dyDescent="0.25">
      <c r="A116" s="82"/>
      <c r="B116" s="45"/>
      <c r="C116" s="44"/>
      <c r="D116" s="45"/>
      <c r="E116" s="82"/>
      <c r="F116" s="45"/>
      <c r="G116" s="44"/>
      <c r="H116" s="45"/>
      <c r="I116" s="82"/>
      <c r="J116" s="45"/>
      <c r="K116" s="44"/>
      <c r="L116" s="45"/>
      <c r="M116" s="82"/>
      <c r="N116" s="45"/>
      <c r="O116" s="44"/>
    </row>
    <row r="117" spans="1:15" ht="15.75" customHeight="1" x14ac:dyDescent="0.25">
      <c r="A117" s="75" t="s">
        <v>111</v>
      </c>
      <c r="B117" s="76">
        <f>B107</f>
        <v>45536</v>
      </c>
      <c r="C117" s="25">
        <f>C107+C115</f>
        <v>-2773.5402946657341</v>
      </c>
      <c r="D117" s="45"/>
      <c r="E117" s="75" t="s">
        <v>111</v>
      </c>
      <c r="F117" s="76">
        <f>F107</f>
        <v>45566</v>
      </c>
      <c r="G117" s="25">
        <f>G107+G115</f>
        <v>-2763.620294665734</v>
      </c>
      <c r="H117" s="45"/>
      <c r="I117" s="75" t="s">
        <v>111</v>
      </c>
      <c r="J117" s="76">
        <f>J107</f>
        <v>45597</v>
      </c>
      <c r="K117" s="25">
        <f>K107+K115</f>
        <v>-2823.700294665734</v>
      </c>
      <c r="L117" s="45"/>
      <c r="M117" s="75" t="s">
        <v>111</v>
      </c>
      <c r="N117" s="76">
        <f>N107</f>
        <v>45627</v>
      </c>
      <c r="O117" s="25">
        <f>O107+O115</f>
        <v>-2823.7802946657339</v>
      </c>
    </row>
    <row r="118" spans="1:15" ht="3" customHeight="1" x14ac:dyDescent="0.25">
      <c r="A118" s="82"/>
      <c r="B118" s="45"/>
      <c r="C118" s="44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</row>
    <row r="119" spans="1:15" x14ac:dyDescent="0.25">
      <c r="A119" s="77"/>
      <c r="B119" s="63" t="s">
        <v>112</v>
      </c>
      <c r="C119" s="64">
        <f>IF(C117&lt;0,C117*8%,0)</f>
        <v>-221.88322357325873</v>
      </c>
      <c r="D119" s="61"/>
      <c r="E119" s="77"/>
      <c r="F119" s="63" t="s">
        <v>112</v>
      </c>
      <c r="G119" s="64">
        <f>IF(G117&lt;0,G117*8%,0)</f>
        <v>-221.08962357325873</v>
      </c>
      <c r="H119" s="61"/>
      <c r="I119" s="77"/>
      <c r="J119" s="63" t="s">
        <v>112</v>
      </c>
      <c r="K119" s="64">
        <f>IF(K117&lt;0,K117*8%,0)</f>
        <v>-225.89602357325873</v>
      </c>
      <c r="L119" s="61"/>
      <c r="M119" s="77"/>
      <c r="N119" s="63" t="s">
        <v>112</v>
      </c>
      <c r="O119" s="64">
        <f>IF(O117&lt;0,O117*8%,0)</f>
        <v>-225.90242357325872</v>
      </c>
    </row>
  </sheetData>
  <mergeCells count="20">
    <mergeCell ref="A98:C98"/>
    <mergeCell ref="E98:G98"/>
    <mergeCell ref="I98:K98"/>
    <mergeCell ref="M98:O98"/>
    <mergeCell ref="A52:C52"/>
    <mergeCell ref="E52:G52"/>
    <mergeCell ref="I52:K52"/>
    <mergeCell ref="M52:O52"/>
    <mergeCell ref="A75:C75"/>
    <mergeCell ref="E75:G75"/>
    <mergeCell ref="I75:K75"/>
    <mergeCell ref="M75:O75"/>
    <mergeCell ref="A2:C2"/>
    <mergeCell ref="E2:G2"/>
    <mergeCell ref="I2:K2"/>
    <mergeCell ref="M2:O2"/>
    <mergeCell ref="A29:C29"/>
    <mergeCell ref="E29:G29"/>
    <mergeCell ref="I29:K29"/>
    <mergeCell ref="M29:O29"/>
  </mergeCells>
  <conditionalFormatting sqref="C6:C13">
    <cfRule type="expression" dxfId="382" priority="158">
      <formula>$D6&lt;&gt;""</formula>
    </cfRule>
  </conditionalFormatting>
  <conditionalFormatting sqref="A5:C5">
    <cfRule type="expression" dxfId="381" priority="160">
      <formula>$D5&lt;&gt;""</formula>
    </cfRule>
  </conditionalFormatting>
  <conditionalFormatting sqref="A6:B6">
    <cfRule type="expression" dxfId="380" priority="159">
      <formula>$D6&lt;&gt;""</formula>
    </cfRule>
  </conditionalFormatting>
  <conditionalFormatting sqref="C4">
    <cfRule type="expression" dxfId="379" priority="161">
      <formula>$D14&lt;&gt;""</formula>
    </cfRule>
  </conditionalFormatting>
  <conditionalFormatting sqref="C35">
    <cfRule type="expression" dxfId="378" priority="154">
      <formula>$D34&lt;&gt;""</formula>
    </cfRule>
  </conditionalFormatting>
  <conditionalFormatting sqref="C40:C44">
    <cfRule type="expression" dxfId="377" priority="157">
      <formula>$D40&lt;&gt;""</formula>
    </cfRule>
  </conditionalFormatting>
  <conditionalFormatting sqref="A32:C32">
    <cfRule type="expression" dxfId="376" priority="156">
      <formula>$D31&lt;&gt;""</formula>
    </cfRule>
  </conditionalFormatting>
  <conditionalFormatting sqref="A33:B33">
    <cfRule type="expression" dxfId="375" priority="155">
      <formula>$D32&lt;&gt;""</formula>
    </cfRule>
  </conditionalFormatting>
  <conditionalFormatting sqref="C33">
    <cfRule type="expression" dxfId="374" priority="153">
      <formula>$D32&lt;&gt;""</formula>
    </cfRule>
  </conditionalFormatting>
  <conditionalFormatting sqref="C34">
    <cfRule type="expression" dxfId="373" priority="152">
      <formula>$D33&lt;&gt;""</formula>
    </cfRule>
  </conditionalFormatting>
  <conditionalFormatting sqref="G35">
    <cfRule type="expression" dxfId="372" priority="147">
      <formula>$D34&lt;&gt;""</formula>
    </cfRule>
  </conditionalFormatting>
  <conditionalFormatting sqref="G40:G44">
    <cfRule type="expression" dxfId="371" priority="150">
      <formula>$D40&lt;&gt;""</formula>
    </cfRule>
  </conditionalFormatting>
  <conditionalFormatting sqref="E32:G32">
    <cfRule type="expression" dxfId="370" priority="149">
      <formula>$D31&lt;&gt;""</formula>
    </cfRule>
  </conditionalFormatting>
  <conditionalFormatting sqref="E33:F33">
    <cfRule type="expression" dxfId="369" priority="148">
      <formula>$D32&lt;&gt;""</formula>
    </cfRule>
  </conditionalFormatting>
  <conditionalFormatting sqref="G33">
    <cfRule type="expression" dxfId="368" priority="146">
      <formula>$D32&lt;&gt;""</formula>
    </cfRule>
  </conditionalFormatting>
  <conditionalFormatting sqref="G34">
    <cfRule type="expression" dxfId="367" priority="145">
      <formula>$D33&lt;&gt;""</formula>
    </cfRule>
  </conditionalFormatting>
  <conditionalFormatting sqref="G31">
    <cfRule type="expression" dxfId="366" priority="151">
      <formula>#REF!&lt;&gt;""</formula>
    </cfRule>
  </conditionalFormatting>
  <conditionalFormatting sqref="K35">
    <cfRule type="expression" dxfId="365" priority="140">
      <formula>$D34&lt;&gt;""</formula>
    </cfRule>
  </conditionalFormatting>
  <conditionalFormatting sqref="K40:K44">
    <cfRule type="expression" dxfId="364" priority="143">
      <formula>$D40&lt;&gt;""</formula>
    </cfRule>
  </conditionalFormatting>
  <conditionalFormatting sqref="I32:K32">
    <cfRule type="expression" dxfId="363" priority="142">
      <formula>$D31&lt;&gt;""</formula>
    </cfRule>
  </conditionalFormatting>
  <conditionalFormatting sqref="I33:J33">
    <cfRule type="expression" dxfId="362" priority="141">
      <formula>$D32&lt;&gt;""</formula>
    </cfRule>
  </conditionalFormatting>
  <conditionalFormatting sqref="K33">
    <cfRule type="expression" dxfId="361" priority="139">
      <formula>$D32&lt;&gt;""</formula>
    </cfRule>
  </conditionalFormatting>
  <conditionalFormatting sqref="K34">
    <cfRule type="expression" dxfId="360" priority="138">
      <formula>$D33&lt;&gt;""</formula>
    </cfRule>
  </conditionalFormatting>
  <conditionalFormatting sqref="K31">
    <cfRule type="expression" dxfId="359" priority="144">
      <formula>#REF!&lt;&gt;""</formula>
    </cfRule>
  </conditionalFormatting>
  <conditionalFormatting sqref="O40:O44">
    <cfRule type="expression" dxfId="358" priority="136">
      <formula>$D40&lt;&gt;""</formula>
    </cfRule>
  </conditionalFormatting>
  <conditionalFormatting sqref="M32:O32">
    <cfRule type="expression" dxfId="357" priority="135">
      <formula>$D31&lt;&gt;""</formula>
    </cfRule>
  </conditionalFormatting>
  <conditionalFormatting sqref="M33:N33">
    <cfRule type="expression" dxfId="356" priority="134">
      <formula>$D32&lt;&gt;""</formula>
    </cfRule>
  </conditionalFormatting>
  <conditionalFormatting sqref="O33">
    <cfRule type="expression" dxfId="355" priority="133">
      <formula>$D32&lt;&gt;""</formula>
    </cfRule>
  </conditionalFormatting>
  <conditionalFormatting sqref="O34">
    <cfRule type="expression" dxfId="354" priority="132">
      <formula>$D33&lt;&gt;""</formula>
    </cfRule>
  </conditionalFormatting>
  <conditionalFormatting sqref="O31">
    <cfRule type="expression" dxfId="353" priority="137">
      <formula>#REF!&lt;&gt;""</formula>
    </cfRule>
  </conditionalFormatting>
  <conditionalFormatting sqref="C31">
    <cfRule type="expression" dxfId="352" priority="131">
      <formula>$D30&lt;&gt;""</formula>
    </cfRule>
  </conditionalFormatting>
  <conditionalFormatting sqref="K36">
    <cfRule type="expression" dxfId="351" priority="130">
      <formula>$D35&lt;&gt;""</formula>
    </cfRule>
  </conditionalFormatting>
  <conditionalFormatting sqref="G36">
    <cfRule type="expression" dxfId="350" priority="129">
      <formula>$D35&lt;&gt;""</formula>
    </cfRule>
  </conditionalFormatting>
  <conditionalFormatting sqref="C36">
    <cfRule type="expression" dxfId="349" priority="128">
      <formula>$D35&lt;&gt;""</formula>
    </cfRule>
  </conditionalFormatting>
  <conditionalFormatting sqref="C58">
    <cfRule type="expression" dxfId="348" priority="123">
      <formula>$D57&lt;&gt;""</formula>
    </cfRule>
  </conditionalFormatting>
  <conditionalFormatting sqref="C63:C67">
    <cfRule type="expression" dxfId="347" priority="126">
      <formula>$D63&lt;&gt;""</formula>
    </cfRule>
  </conditionalFormatting>
  <conditionalFormatting sqref="A55:C55">
    <cfRule type="expression" dxfId="346" priority="125">
      <formula>$D54&lt;&gt;""</formula>
    </cfRule>
  </conditionalFormatting>
  <conditionalFormatting sqref="A56:B56">
    <cfRule type="expression" dxfId="345" priority="124">
      <formula>$D55&lt;&gt;""</formula>
    </cfRule>
  </conditionalFormatting>
  <conditionalFormatting sqref="C56">
    <cfRule type="expression" dxfId="344" priority="122">
      <formula>$D55&lt;&gt;""</formula>
    </cfRule>
  </conditionalFormatting>
  <conditionalFormatting sqref="C57">
    <cfRule type="expression" dxfId="343" priority="121">
      <formula>$D56&lt;&gt;""</formula>
    </cfRule>
  </conditionalFormatting>
  <conditionalFormatting sqref="C54">
    <cfRule type="expression" dxfId="342" priority="127">
      <formula>#REF!&lt;&gt;""</formula>
    </cfRule>
  </conditionalFormatting>
  <conditionalFormatting sqref="G58">
    <cfRule type="expression" dxfId="341" priority="116">
      <formula>$D57&lt;&gt;""</formula>
    </cfRule>
  </conditionalFormatting>
  <conditionalFormatting sqref="G63:G67">
    <cfRule type="expression" dxfId="340" priority="119">
      <formula>$D63&lt;&gt;""</formula>
    </cfRule>
  </conditionalFormatting>
  <conditionalFormatting sqref="E55:G55">
    <cfRule type="expression" dxfId="339" priority="118">
      <formula>$D54&lt;&gt;""</formula>
    </cfRule>
  </conditionalFormatting>
  <conditionalFormatting sqref="E56:F56">
    <cfRule type="expression" dxfId="338" priority="117">
      <formula>$D55&lt;&gt;""</formula>
    </cfRule>
  </conditionalFormatting>
  <conditionalFormatting sqref="G56">
    <cfRule type="expression" dxfId="337" priority="115">
      <formula>$D55&lt;&gt;""</formula>
    </cfRule>
  </conditionalFormatting>
  <conditionalFormatting sqref="G57">
    <cfRule type="expression" dxfId="336" priority="114">
      <formula>$D56&lt;&gt;""</formula>
    </cfRule>
  </conditionalFormatting>
  <conditionalFormatting sqref="G54">
    <cfRule type="expression" dxfId="335" priority="120">
      <formula>#REF!&lt;&gt;""</formula>
    </cfRule>
  </conditionalFormatting>
  <conditionalFormatting sqref="K58">
    <cfRule type="expression" dxfId="334" priority="109">
      <formula>$D57&lt;&gt;""</formula>
    </cfRule>
  </conditionalFormatting>
  <conditionalFormatting sqref="K63:K67">
    <cfRule type="expression" dxfId="333" priority="112">
      <formula>$D63&lt;&gt;""</formula>
    </cfRule>
  </conditionalFormatting>
  <conditionalFormatting sqref="I55:K55">
    <cfRule type="expression" dxfId="332" priority="111">
      <formula>$D54&lt;&gt;""</formula>
    </cfRule>
  </conditionalFormatting>
  <conditionalFormatting sqref="I56:J56">
    <cfRule type="expression" dxfId="331" priority="110">
      <formula>$D55&lt;&gt;""</formula>
    </cfRule>
  </conditionalFormatting>
  <conditionalFormatting sqref="K56">
    <cfRule type="expression" dxfId="330" priority="108">
      <formula>$D55&lt;&gt;""</formula>
    </cfRule>
  </conditionalFormatting>
  <conditionalFormatting sqref="K57">
    <cfRule type="expression" dxfId="329" priority="107">
      <formula>$D56&lt;&gt;""</formula>
    </cfRule>
  </conditionalFormatting>
  <conditionalFormatting sqref="K54">
    <cfRule type="expression" dxfId="328" priority="113">
      <formula>#REF!&lt;&gt;""</formula>
    </cfRule>
  </conditionalFormatting>
  <conditionalFormatting sqref="O58">
    <cfRule type="expression" dxfId="327" priority="102">
      <formula>$D57&lt;&gt;""</formula>
    </cfRule>
  </conditionalFormatting>
  <conditionalFormatting sqref="O63 O65:O67">
    <cfRule type="expression" dxfId="326" priority="105">
      <formula>$D63&lt;&gt;""</formula>
    </cfRule>
  </conditionalFormatting>
  <conditionalFormatting sqref="M55:O55">
    <cfRule type="expression" dxfId="325" priority="104">
      <formula>$D54&lt;&gt;""</formula>
    </cfRule>
  </conditionalFormatting>
  <conditionalFormatting sqref="M56:N56">
    <cfRule type="expression" dxfId="324" priority="103">
      <formula>$D55&lt;&gt;""</formula>
    </cfRule>
  </conditionalFormatting>
  <conditionalFormatting sqref="O56">
    <cfRule type="expression" dxfId="323" priority="101">
      <formula>$D55&lt;&gt;""</formula>
    </cfRule>
  </conditionalFormatting>
  <conditionalFormatting sqref="O57">
    <cfRule type="expression" dxfId="322" priority="100">
      <formula>$D56&lt;&gt;""</formula>
    </cfRule>
  </conditionalFormatting>
  <conditionalFormatting sqref="O54">
    <cfRule type="expression" dxfId="321" priority="106">
      <formula>#REF!&lt;&gt;""</formula>
    </cfRule>
  </conditionalFormatting>
  <conditionalFormatting sqref="C81">
    <cfRule type="expression" dxfId="320" priority="95">
      <formula>$D80&lt;&gt;""</formula>
    </cfRule>
  </conditionalFormatting>
  <conditionalFormatting sqref="C87:C90">
    <cfRule type="expression" dxfId="319" priority="98">
      <formula>$D87&lt;&gt;""</formula>
    </cfRule>
  </conditionalFormatting>
  <conditionalFormatting sqref="A78:B78">
    <cfRule type="expression" dxfId="318" priority="97">
      <formula>$D77&lt;&gt;""</formula>
    </cfRule>
  </conditionalFormatting>
  <conditionalFormatting sqref="A79:B79">
    <cfRule type="expression" dxfId="317" priority="96">
      <formula>$D78&lt;&gt;""</formula>
    </cfRule>
  </conditionalFormatting>
  <conditionalFormatting sqref="C79">
    <cfRule type="expression" dxfId="316" priority="94">
      <formula>$D78&lt;&gt;""</formula>
    </cfRule>
  </conditionalFormatting>
  <conditionalFormatting sqref="C80">
    <cfRule type="expression" dxfId="315" priority="93">
      <formula>$D79&lt;&gt;""</formula>
    </cfRule>
  </conditionalFormatting>
  <conditionalFormatting sqref="C77">
    <cfRule type="expression" dxfId="314" priority="99">
      <formula>#REF!&lt;&gt;""</formula>
    </cfRule>
  </conditionalFormatting>
  <conditionalFormatting sqref="G81">
    <cfRule type="expression" dxfId="313" priority="88">
      <formula>$D80&lt;&gt;""</formula>
    </cfRule>
  </conditionalFormatting>
  <conditionalFormatting sqref="G87:G90">
    <cfRule type="expression" dxfId="312" priority="91">
      <formula>$D87&lt;&gt;""</formula>
    </cfRule>
  </conditionalFormatting>
  <conditionalFormatting sqref="E78:F78">
    <cfRule type="expression" dxfId="311" priority="90">
      <formula>$D77&lt;&gt;""</formula>
    </cfRule>
  </conditionalFormatting>
  <conditionalFormatting sqref="E79:F79">
    <cfRule type="expression" dxfId="310" priority="89">
      <formula>$D78&lt;&gt;""</formula>
    </cfRule>
  </conditionalFormatting>
  <conditionalFormatting sqref="G79">
    <cfRule type="expression" dxfId="309" priority="87">
      <formula>$D78&lt;&gt;""</formula>
    </cfRule>
  </conditionalFormatting>
  <conditionalFormatting sqref="G80">
    <cfRule type="expression" dxfId="308" priority="86">
      <formula>$D79&lt;&gt;""</formula>
    </cfRule>
  </conditionalFormatting>
  <conditionalFormatting sqref="G77">
    <cfRule type="expression" dxfId="307" priority="92">
      <formula>#REF!&lt;&gt;""</formula>
    </cfRule>
  </conditionalFormatting>
  <conditionalFormatting sqref="K81">
    <cfRule type="expression" dxfId="306" priority="81">
      <formula>$D80&lt;&gt;""</formula>
    </cfRule>
  </conditionalFormatting>
  <conditionalFormatting sqref="K86:K90">
    <cfRule type="expression" dxfId="305" priority="84">
      <formula>$D86&lt;&gt;""</formula>
    </cfRule>
  </conditionalFormatting>
  <conditionalFormatting sqref="I78:J78">
    <cfRule type="expression" dxfId="304" priority="83">
      <formula>$D77&lt;&gt;""</formula>
    </cfRule>
  </conditionalFormatting>
  <conditionalFormatting sqref="I79:J79">
    <cfRule type="expression" dxfId="303" priority="82">
      <formula>$D78&lt;&gt;""</formula>
    </cfRule>
  </conditionalFormatting>
  <conditionalFormatting sqref="K79">
    <cfRule type="expression" dxfId="302" priority="80">
      <formula>$D78&lt;&gt;""</formula>
    </cfRule>
  </conditionalFormatting>
  <conditionalFormatting sqref="K80">
    <cfRule type="expression" dxfId="301" priority="79">
      <formula>$D79&lt;&gt;""</formula>
    </cfRule>
  </conditionalFormatting>
  <conditionalFormatting sqref="K77">
    <cfRule type="expression" dxfId="300" priority="85">
      <formula>#REF!&lt;&gt;""</formula>
    </cfRule>
  </conditionalFormatting>
  <conditionalFormatting sqref="O81">
    <cfRule type="expression" dxfId="299" priority="74">
      <formula>$D80&lt;&gt;""</formula>
    </cfRule>
  </conditionalFormatting>
  <conditionalFormatting sqref="O88:O90">
    <cfRule type="expression" dxfId="298" priority="77">
      <formula>$D88&lt;&gt;""</formula>
    </cfRule>
  </conditionalFormatting>
  <conditionalFormatting sqref="M78:N78">
    <cfRule type="expression" dxfId="297" priority="76">
      <formula>$D77&lt;&gt;""</formula>
    </cfRule>
  </conditionalFormatting>
  <conditionalFormatting sqref="M79:N79">
    <cfRule type="expression" dxfId="296" priority="75">
      <formula>$D78&lt;&gt;""</formula>
    </cfRule>
  </conditionalFormatting>
  <conditionalFormatting sqref="O79">
    <cfRule type="expression" dxfId="295" priority="73">
      <formula>$D78&lt;&gt;""</formula>
    </cfRule>
  </conditionalFormatting>
  <conditionalFormatting sqref="O80">
    <cfRule type="expression" dxfId="294" priority="72">
      <formula>$D79&lt;&gt;""</formula>
    </cfRule>
  </conditionalFormatting>
  <conditionalFormatting sqref="O77">
    <cfRule type="expression" dxfId="293" priority="78">
      <formula>#REF!&lt;&gt;""</formula>
    </cfRule>
  </conditionalFormatting>
  <conditionalFormatting sqref="C104:C105">
    <cfRule type="expression" dxfId="292" priority="67">
      <formula>$D103&lt;&gt;""</formula>
    </cfRule>
  </conditionalFormatting>
  <conditionalFormatting sqref="C111:C113">
    <cfRule type="expression" dxfId="291" priority="70">
      <formula>$D111&lt;&gt;""</formula>
    </cfRule>
  </conditionalFormatting>
  <conditionalFormatting sqref="A101:B101">
    <cfRule type="expression" dxfId="290" priority="69">
      <formula>$D100&lt;&gt;""</formula>
    </cfRule>
  </conditionalFormatting>
  <conditionalFormatting sqref="A102:B102">
    <cfRule type="expression" dxfId="289" priority="68">
      <formula>$D101&lt;&gt;""</formula>
    </cfRule>
  </conditionalFormatting>
  <conditionalFormatting sqref="C102">
    <cfRule type="expression" dxfId="288" priority="66">
      <formula>$D101&lt;&gt;""</formula>
    </cfRule>
  </conditionalFormatting>
  <conditionalFormatting sqref="C103">
    <cfRule type="expression" dxfId="287" priority="65">
      <formula>$D102&lt;&gt;""</formula>
    </cfRule>
  </conditionalFormatting>
  <conditionalFormatting sqref="C100">
    <cfRule type="expression" dxfId="286" priority="71">
      <formula>#REF!&lt;&gt;""</formula>
    </cfRule>
  </conditionalFormatting>
  <conditionalFormatting sqref="G104:G105">
    <cfRule type="expression" dxfId="285" priority="60">
      <formula>$D103&lt;&gt;""</formula>
    </cfRule>
  </conditionalFormatting>
  <conditionalFormatting sqref="G111:G113">
    <cfRule type="expression" dxfId="284" priority="63">
      <formula>$D111&lt;&gt;""</formula>
    </cfRule>
  </conditionalFormatting>
  <conditionalFormatting sqref="E101:F101">
    <cfRule type="expression" dxfId="283" priority="62">
      <formula>$D100&lt;&gt;""</formula>
    </cfRule>
  </conditionalFormatting>
  <conditionalFormatting sqref="E102:F102">
    <cfRule type="expression" dxfId="282" priority="61">
      <formula>$D101&lt;&gt;""</formula>
    </cfRule>
  </conditionalFormatting>
  <conditionalFormatting sqref="G102">
    <cfRule type="expression" dxfId="281" priority="59">
      <formula>$D101&lt;&gt;""</formula>
    </cfRule>
  </conditionalFormatting>
  <conditionalFormatting sqref="G103">
    <cfRule type="expression" dxfId="280" priority="58">
      <formula>$D102&lt;&gt;""</formula>
    </cfRule>
  </conditionalFormatting>
  <conditionalFormatting sqref="G100">
    <cfRule type="expression" dxfId="279" priority="64">
      <formula>#REF!&lt;&gt;""</formula>
    </cfRule>
  </conditionalFormatting>
  <conditionalFormatting sqref="K104:K105">
    <cfRule type="expression" dxfId="278" priority="53">
      <formula>$D103&lt;&gt;""</formula>
    </cfRule>
  </conditionalFormatting>
  <conditionalFormatting sqref="K109:K113">
    <cfRule type="expression" dxfId="277" priority="56">
      <formula>$D109&lt;&gt;""</formula>
    </cfRule>
  </conditionalFormatting>
  <conditionalFormatting sqref="I101:J101">
    <cfRule type="expression" dxfId="276" priority="55">
      <formula>$D100&lt;&gt;""</formula>
    </cfRule>
  </conditionalFormatting>
  <conditionalFormatting sqref="I102:J102">
    <cfRule type="expression" dxfId="275" priority="54">
      <formula>$D101&lt;&gt;""</formula>
    </cfRule>
  </conditionalFormatting>
  <conditionalFormatting sqref="K102">
    <cfRule type="expression" dxfId="274" priority="52">
      <formula>$D101&lt;&gt;""</formula>
    </cfRule>
  </conditionalFormatting>
  <conditionalFormatting sqref="K103">
    <cfRule type="expression" dxfId="273" priority="51">
      <formula>$D102&lt;&gt;""</formula>
    </cfRule>
  </conditionalFormatting>
  <conditionalFormatting sqref="K100">
    <cfRule type="expression" dxfId="272" priority="57">
      <formula>#REF!&lt;&gt;""</formula>
    </cfRule>
  </conditionalFormatting>
  <conditionalFormatting sqref="O104:O105">
    <cfRule type="expression" dxfId="271" priority="46">
      <formula>$D103&lt;&gt;""</formula>
    </cfRule>
  </conditionalFormatting>
  <conditionalFormatting sqref="O109:O113">
    <cfRule type="expression" dxfId="270" priority="49">
      <formula>$D109&lt;&gt;""</formula>
    </cfRule>
  </conditionalFormatting>
  <conditionalFormatting sqref="M101:N101">
    <cfRule type="expression" dxfId="269" priority="48">
      <formula>$D100&lt;&gt;""</formula>
    </cfRule>
  </conditionalFormatting>
  <conditionalFormatting sqref="M102:N102">
    <cfRule type="expression" dxfId="268" priority="47">
      <formula>$D101&lt;&gt;""</formula>
    </cfRule>
  </conditionalFormatting>
  <conditionalFormatting sqref="O102">
    <cfRule type="expression" dxfId="267" priority="45">
      <formula>$D101&lt;&gt;""</formula>
    </cfRule>
  </conditionalFormatting>
  <conditionalFormatting sqref="O103">
    <cfRule type="expression" dxfId="266" priority="44">
      <formula>$D102&lt;&gt;""</formula>
    </cfRule>
  </conditionalFormatting>
  <conditionalFormatting sqref="O100">
    <cfRule type="expression" dxfId="265" priority="50">
      <formula>#REF!&lt;&gt;""</formula>
    </cfRule>
  </conditionalFormatting>
  <conditionalFormatting sqref="G6:G12">
    <cfRule type="expression" dxfId="264" priority="40">
      <formula>$D6&lt;&gt;""</formula>
    </cfRule>
  </conditionalFormatting>
  <conditionalFormatting sqref="E5:G5">
    <cfRule type="expression" dxfId="263" priority="42">
      <formula>$D5&lt;&gt;""</formula>
    </cfRule>
  </conditionalFormatting>
  <conditionalFormatting sqref="E6:F6">
    <cfRule type="expression" dxfId="262" priority="41">
      <formula>$D6&lt;&gt;""</formula>
    </cfRule>
  </conditionalFormatting>
  <conditionalFormatting sqref="G4">
    <cfRule type="expression" dxfId="261" priority="43">
      <formula>$D14&lt;&gt;""</formula>
    </cfRule>
  </conditionalFormatting>
  <conditionalFormatting sqref="K6:K12">
    <cfRule type="expression" dxfId="260" priority="36">
      <formula>$D6&lt;&gt;""</formula>
    </cfRule>
  </conditionalFormatting>
  <conditionalFormatting sqref="I5:K5">
    <cfRule type="expression" dxfId="259" priority="38">
      <formula>$D5&lt;&gt;""</formula>
    </cfRule>
  </conditionalFormatting>
  <conditionalFormatting sqref="I6:J6">
    <cfRule type="expression" dxfId="258" priority="37">
      <formula>$D6&lt;&gt;""</formula>
    </cfRule>
  </conditionalFormatting>
  <conditionalFormatting sqref="K4">
    <cfRule type="expression" dxfId="257" priority="39">
      <formula>$D14&lt;&gt;""</formula>
    </cfRule>
  </conditionalFormatting>
  <conditionalFormatting sqref="O6:O12">
    <cfRule type="expression" dxfId="256" priority="32">
      <formula>$D6&lt;&gt;""</formula>
    </cfRule>
  </conditionalFormatting>
  <conditionalFormatting sqref="M5:O5">
    <cfRule type="expression" dxfId="255" priority="34">
      <formula>$D5&lt;&gt;""</formula>
    </cfRule>
  </conditionalFormatting>
  <conditionalFormatting sqref="M6:N6">
    <cfRule type="expression" dxfId="254" priority="33">
      <formula>$D6&lt;&gt;""</formula>
    </cfRule>
  </conditionalFormatting>
  <conditionalFormatting sqref="O4">
    <cfRule type="expression" dxfId="253" priority="35">
      <formula>$D14&lt;&gt;""</formula>
    </cfRule>
  </conditionalFormatting>
  <conditionalFormatting sqref="C59">
    <cfRule type="expression" dxfId="252" priority="31">
      <formula>$D58&lt;&gt;""</formula>
    </cfRule>
  </conditionalFormatting>
  <conditionalFormatting sqref="G13">
    <cfRule type="expression" dxfId="251" priority="30">
      <formula>$D12&lt;&gt;""</formula>
    </cfRule>
  </conditionalFormatting>
  <conditionalFormatting sqref="K13">
    <cfRule type="expression" dxfId="250" priority="29">
      <formula>$D12&lt;&gt;""</formula>
    </cfRule>
  </conditionalFormatting>
  <conditionalFormatting sqref="O13">
    <cfRule type="expression" dxfId="249" priority="28">
      <formula>$D12&lt;&gt;""</formula>
    </cfRule>
  </conditionalFormatting>
  <conditionalFormatting sqref="G59">
    <cfRule type="expression" dxfId="248" priority="27">
      <formula>$D58&lt;&gt;""</formula>
    </cfRule>
  </conditionalFormatting>
  <conditionalFormatting sqref="K59">
    <cfRule type="expression" dxfId="247" priority="26">
      <formula>$D58&lt;&gt;""</formula>
    </cfRule>
  </conditionalFormatting>
  <conditionalFormatting sqref="O59">
    <cfRule type="expression" dxfId="246" priority="25">
      <formula>$D58&lt;&gt;""</formula>
    </cfRule>
  </conditionalFormatting>
  <conditionalFormatting sqref="C82">
    <cfRule type="expression" dxfId="245" priority="24">
      <formula>$D81&lt;&gt;""</formula>
    </cfRule>
  </conditionalFormatting>
  <conditionalFormatting sqref="G82">
    <cfRule type="expression" dxfId="244" priority="23">
      <formula>$D81&lt;&gt;""</formula>
    </cfRule>
  </conditionalFormatting>
  <conditionalFormatting sqref="K82">
    <cfRule type="expression" dxfId="243" priority="22">
      <formula>$D81&lt;&gt;""</formula>
    </cfRule>
  </conditionalFormatting>
  <conditionalFormatting sqref="O82">
    <cfRule type="expression" dxfId="242" priority="21">
      <formula>$D81&lt;&gt;""</formula>
    </cfRule>
  </conditionalFormatting>
  <conditionalFormatting sqref="O64">
    <cfRule type="expression" dxfId="241" priority="20">
      <formula>$D64&lt;&gt;""</formula>
    </cfRule>
  </conditionalFormatting>
  <conditionalFormatting sqref="C86">
    <cfRule type="expression" dxfId="240" priority="19">
      <formula>$D86&lt;&gt;""</formula>
    </cfRule>
  </conditionalFormatting>
  <conditionalFormatting sqref="G86">
    <cfRule type="expression" dxfId="239" priority="18">
      <formula>$D86&lt;&gt;""</formula>
    </cfRule>
  </conditionalFormatting>
  <conditionalFormatting sqref="O36">
    <cfRule type="expression" dxfId="238" priority="17">
      <formula>$D35&lt;&gt;""</formula>
    </cfRule>
  </conditionalFormatting>
  <conditionalFormatting sqref="O35">
    <cfRule type="expression" dxfId="237" priority="16">
      <formula>$D34&lt;&gt;""</formula>
    </cfRule>
  </conditionalFormatting>
  <conditionalFormatting sqref="C17:C21">
    <cfRule type="expression" dxfId="236" priority="15">
      <formula>$D17&lt;&gt;""</formula>
    </cfRule>
  </conditionalFormatting>
  <conditionalFormatting sqref="G17:G21">
    <cfRule type="expression" dxfId="235" priority="14">
      <formula>$D17&lt;&gt;""</formula>
    </cfRule>
  </conditionalFormatting>
  <conditionalFormatting sqref="K17:K21">
    <cfRule type="expression" dxfId="234" priority="13">
      <formula>$D17&lt;&gt;""</formula>
    </cfRule>
  </conditionalFormatting>
  <conditionalFormatting sqref="O17:O21">
    <cfRule type="expression" dxfId="233" priority="12">
      <formula>$D17&lt;&gt;""</formula>
    </cfRule>
  </conditionalFormatting>
  <conditionalFormatting sqref="C78">
    <cfRule type="expression" dxfId="232" priority="11">
      <formula>$D77&lt;&gt;""</formula>
    </cfRule>
  </conditionalFormatting>
  <conditionalFormatting sqref="G78">
    <cfRule type="expression" dxfId="231" priority="10">
      <formula>$D77&lt;&gt;""</formula>
    </cfRule>
  </conditionalFormatting>
  <conditionalFormatting sqref="K78">
    <cfRule type="expression" dxfId="230" priority="9">
      <formula>$D77&lt;&gt;""</formula>
    </cfRule>
  </conditionalFormatting>
  <conditionalFormatting sqref="O78">
    <cfRule type="expression" dxfId="229" priority="8">
      <formula>$D77&lt;&gt;""</formula>
    </cfRule>
  </conditionalFormatting>
  <conditionalFormatting sqref="C101">
    <cfRule type="expression" dxfId="228" priority="7">
      <formula>$D100&lt;&gt;""</formula>
    </cfRule>
  </conditionalFormatting>
  <conditionalFormatting sqref="G101">
    <cfRule type="expression" dxfId="227" priority="6">
      <formula>$D100&lt;&gt;""</formula>
    </cfRule>
  </conditionalFormatting>
  <conditionalFormatting sqref="K101">
    <cfRule type="expression" dxfId="226" priority="5">
      <formula>$D100&lt;&gt;""</formula>
    </cfRule>
  </conditionalFormatting>
  <conditionalFormatting sqref="O101">
    <cfRule type="expression" dxfId="225" priority="4">
      <formula>$D100&lt;&gt;""</formula>
    </cfRule>
  </conditionalFormatting>
  <conditionalFormatting sqref="O86:O87">
    <cfRule type="expression" dxfId="224" priority="3">
      <formula>$D86&lt;&gt;""</formula>
    </cfRule>
  </conditionalFormatting>
  <conditionalFormatting sqref="C109:C110">
    <cfRule type="expression" dxfId="223" priority="2">
      <formula>$D109&lt;&gt;""</formula>
    </cfRule>
  </conditionalFormatting>
  <conditionalFormatting sqref="G109:G110">
    <cfRule type="expression" dxfId="222" priority="1">
      <formula>$D109&lt;&gt;""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BCA09-2C2C-4759-A7FD-36418D0CCD54}">
  <sheetPr codeName="Planilha11"/>
  <dimension ref="A1:O165"/>
  <sheetViews>
    <sheetView showGridLines="0" tabSelected="1" topLeftCell="A132" zoomScale="80" zoomScaleNormal="80" workbookViewId="0">
      <selection activeCell="A76" sqref="A76:XFD76"/>
    </sheetView>
  </sheetViews>
  <sheetFormatPr defaultColWidth="9.140625" defaultRowHeight="15" x14ac:dyDescent="0.25"/>
  <cols>
    <col min="1" max="1" width="10.28515625" style="2" customWidth="1"/>
    <col min="2" max="2" width="28.7109375" style="2" bestFit="1" customWidth="1"/>
    <col min="3" max="3" width="13.5703125" style="2" bestFit="1" customWidth="1"/>
    <col min="4" max="4" width="2.42578125" style="2" customWidth="1"/>
    <col min="5" max="5" width="10.28515625" style="2" bestFit="1" customWidth="1"/>
    <col min="6" max="6" width="28.7109375" style="2" bestFit="1" customWidth="1"/>
    <col min="7" max="7" width="13.5703125" style="2" bestFit="1" customWidth="1"/>
    <col min="8" max="8" width="2.7109375" style="2" customWidth="1"/>
    <col min="9" max="9" width="10.28515625" style="2" bestFit="1" customWidth="1"/>
    <col min="10" max="10" width="28.7109375" style="2" bestFit="1" customWidth="1"/>
    <col min="11" max="11" width="13.5703125" style="2" bestFit="1" customWidth="1"/>
    <col min="12" max="12" width="2.5703125" style="2" customWidth="1"/>
    <col min="13" max="13" width="10.28515625" style="2" bestFit="1" customWidth="1"/>
    <col min="14" max="14" width="25.85546875" style="2" bestFit="1" customWidth="1"/>
    <col min="15" max="15" width="15" style="2" bestFit="1" customWidth="1"/>
    <col min="16" max="16384" width="9.140625" style="2"/>
  </cols>
  <sheetData>
    <row r="1" spans="1:15" ht="3" customHeight="1" x14ac:dyDescent="0.25"/>
    <row r="2" spans="1:15" ht="20.25" customHeight="1" x14ac:dyDescent="0.3">
      <c r="A2" s="112" t="str">
        <f>UPPER(TEXT(A4,"mmmm")&amp;" "&amp;TEXT(A4,"aaaa"))</f>
        <v>MAIO 2023</v>
      </c>
      <c r="B2" s="113"/>
      <c r="C2" s="113"/>
      <c r="D2" s="61"/>
      <c r="E2" s="112" t="str">
        <f>UPPER(TEXT(E4,"mmmm")&amp;" "&amp;TEXT(E4,"aaaa"))</f>
        <v>JUNHO 2023</v>
      </c>
      <c r="F2" s="113"/>
      <c r="G2" s="113"/>
      <c r="H2" s="61"/>
      <c r="I2" s="112" t="str">
        <f>UPPER(TEXT(I4,"mmmm")&amp;" "&amp;TEXT(I4,"aaaa"))</f>
        <v>JULHO 2023</v>
      </c>
      <c r="J2" s="113"/>
      <c r="K2" s="113"/>
      <c r="L2" s="61"/>
      <c r="M2" s="112" t="str">
        <f>UPPER(TEXT(M4,"mmmm")&amp;" "&amp;TEXT(M4,"aaaa"))</f>
        <v>AGOSTO 2023</v>
      </c>
      <c r="N2" s="113"/>
      <c r="O2" s="113"/>
    </row>
    <row r="3" spans="1:15" x14ac:dyDescent="0.25">
      <c r="A3" s="47" t="s">
        <v>97</v>
      </c>
      <c r="B3" s="48" t="s">
        <v>98</v>
      </c>
      <c r="C3" s="49" t="s">
        <v>99</v>
      </c>
      <c r="D3" s="61"/>
      <c r="E3" s="47" t="s">
        <v>97</v>
      </c>
      <c r="F3" s="48" t="s">
        <v>98</v>
      </c>
      <c r="G3" s="49" t="s">
        <v>99</v>
      </c>
      <c r="H3" s="61"/>
      <c r="I3" s="47" t="s">
        <v>97</v>
      </c>
      <c r="J3" s="48" t="s">
        <v>98</v>
      </c>
      <c r="K3" s="49" t="s">
        <v>99</v>
      </c>
      <c r="L3" s="61"/>
      <c r="M3" s="47" t="s">
        <v>97</v>
      </c>
      <c r="N3" s="48" t="s">
        <v>98</v>
      </c>
      <c r="O3" s="49" t="s">
        <v>99</v>
      </c>
    </row>
    <row r="4" spans="1:15" x14ac:dyDescent="0.25">
      <c r="A4" s="66">
        <v>45047</v>
      </c>
      <c r="B4" s="67" t="s">
        <v>113</v>
      </c>
      <c r="C4" s="32">
        <v>-500</v>
      </c>
      <c r="D4" s="61"/>
      <c r="E4" s="66">
        <v>45078</v>
      </c>
      <c r="F4" s="67" t="s">
        <v>113</v>
      </c>
      <c r="G4" s="32">
        <f>C25</f>
        <v>29.059999999999491</v>
      </c>
      <c r="H4" s="61"/>
      <c r="I4" s="66">
        <v>45108</v>
      </c>
      <c r="J4" s="67" t="s">
        <v>113</v>
      </c>
      <c r="K4" s="32">
        <f>G25</f>
        <v>-1352.8900000000012</v>
      </c>
      <c r="L4" s="61"/>
      <c r="M4" s="66">
        <v>45139</v>
      </c>
      <c r="N4" s="67" t="s">
        <v>113</v>
      </c>
      <c r="O4" s="32">
        <f>K25</f>
        <v>-790.84000000000196</v>
      </c>
    </row>
    <row r="5" spans="1:15" x14ac:dyDescent="0.25">
      <c r="A5" s="66">
        <v>45075</v>
      </c>
      <c r="B5" s="67" t="s">
        <v>146</v>
      </c>
      <c r="C5" s="32">
        <v>-2762.92</v>
      </c>
      <c r="D5" s="61"/>
      <c r="E5" s="66">
        <v>45107</v>
      </c>
      <c r="F5" s="67" t="s">
        <v>42</v>
      </c>
      <c r="G5" s="32">
        <v>-2060.08</v>
      </c>
      <c r="H5" s="61"/>
      <c r="I5" s="66">
        <v>45136</v>
      </c>
      <c r="J5" s="67" t="s">
        <v>43</v>
      </c>
      <c r="K5" s="32">
        <v>-2060.08</v>
      </c>
      <c r="L5" s="61"/>
      <c r="M5" s="66">
        <v>45167</v>
      </c>
      <c r="N5" s="67" t="s">
        <v>44</v>
      </c>
      <c r="O5" s="32">
        <v>-2060.08</v>
      </c>
    </row>
    <row r="6" spans="1:15" x14ac:dyDescent="0.25">
      <c r="A6" s="66">
        <v>45076</v>
      </c>
      <c r="B6" s="67" t="s">
        <v>147</v>
      </c>
      <c r="C6" s="32">
        <v>-2060.08</v>
      </c>
      <c r="D6" s="61"/>
      <c r="E6" s="66">
        <v>45106</v>
      </c>
      <c r="F6" s="67" t="s">
        <v>88</v>
      </c>
      <c r="G6" s="32">
        <v>-2762.92</v>
      </c>
      <c r="H6" s="61"/>
      <c r="I6" s="66">
        <v>45137</v>
      </c>
      <c r="J6" s="67" t="s">
        <v>89</v>
      </c>
      <c r="K6" s="32">
        <v>-2762.92</v>
      </c>
      <c r="L6" s="61"/>
      <c r="M6" s="66">
        <v>45168</v>
      </c>
      <c r="N6" s="67" t="s">
        <v>90</v>
      </c>
      <c r="O6" s="32">
        <v>-2762.92</v>
      </c>
    </row>
    <row r="7" spans="1:15" x14ac:dyDescent="0.25">
      <c r="A7" s="66">
        <v>45046</v>
      </c>
      <c r="B7" s="67" t="s">
        <v>116</v>
      </c>
      <c r="C7" s="32">
        <v>-33.340000000000003</v>
      </c>
      <c r="D7" s="61"/>
      <c r="E7" s="66">
        <v>45078</v>
      </c>
      <c r="F7" s="67" t="s">
        <v>117</v>
      </c>
      <c r="G7" s="32">
        <v>-387.81</v>
      </c>
      <c r="H7" s="61"/>
      <c r="I7" s="66">
        <v>45108</v>
      </c>
      <c r="J7" s="67" t="s">
        <v>118</v>
      </c>
      <c r="K7" s="32">
        <v>-387.81</v>
      </c>
      <c r="L7" s="61"/>
      <c r="M7" s="66">
        <v>45139</v>
      </c>
      <c r="N7" s="67" t="s">
        <v>119</v>
      </c>
      <c r="O7" s="32">
        <v>-356.08</v>
      </c>
    </row>
    <row r="8" spans="1:15" x14ac:dyDescent="0.25">
      <c r="A8" s="66">
        <v>45046</v>
      </c>
      <c r="B8" s="67" t="s">
        <v>120</v>
      </c>
      <c r="C8" s="32">
        <v>-170</v>
      </c>
      <c r="D8" s="61"/>
      <c r="E8" s="66">
        <v>45079</v>
      </c>
      <c r="F8" s="67" t="s">
        <v>117</v>
      </c>
      <c r="G8" s="32">
        <v>-581.72</v>
      </c>
      <c r="H8" s="61"/>
      <c r="I8" s="66">
        <v>45109</v>
      </c>
      <c r="J8" s="67" t="s">
        <v>118</v>
      </c>
      <c r="K8" s="32">
        <v>-581.72</v>
      </c>
      <c r="L8" s="61"/>
      <c r="M8" s="66"/>
      <c r="N8" s="67"/>
      <c r="O8" s="32"/>
    </row>
    <row r="9" spans="1:15" x14ac:dyDescent="0.25">
      <c r="A9" s="66">
        <v>45046</v>
      </c>
      <c r="B9" s="67" t="s">
        <v>121</v>
      </c>
      <c r="C9" s="32">
        <f>-99</f>
        <v>-99</v>
      </c>
      <c r="D9" s="61"/>
      <c r="E9" s="66">
        <v>45078</v>
      </c>
      <c r="F9" s="67" t="s">
        <v>122</v>
      </c>
      <c r="G9" s="32">
        <v>-356.08</v>
      </c>
      <c r="H9" s="61"/>
      <c r="I9" s="66">
        <v>45108</v>
      </c>
      <c r="J9" s="67" t="s">
        <v>123</v>
      </c>
      <c r="K9" s="32">
        <v>-356.08</v>
      </c>
      <c r="L9" s="61"/>
      <c r="M9" s="66"/>
      <c r="N9" s="67"/>
      <c r="O9" s="32"/>
    </row>
    <row r="10" spans="1:15" x14ac:dyDescent="0.25">
      <c r="A10" s="66">
        <v>45047</v>
      </c>
      <c r="B10" s="67" t="s">
        <v>124</v>
      </c>
      <c r="C10" s="32">
        <v>-387.81</v>
      </c>
      <c r="D10" s="61"/>
      <c r="E10" s="66">
        <v>45076</v>
      </c>
      <c r="F10" s="67" t="s">
        <v>125</v>
      </c>
      <c r="G10" s="32">
        <v>-33.340000000000003</v>
      </c>
      <c r="H10" s="61"/>
      <c r="I10" s="66">
        <v>45107</v>
      </c>
      <c r="J10" s="67" t="s">
        <v>126</v>
      </c>
      <c r="K10" s="32">
        <v>-33.340000000000003</v>
      </c>
      <c r="L10" s="61"/>
      <c r="M10" s="66"/>
      <c r="N10" s="67"/>
      <c r="O10" s="32"/>
    </row>
    <row r="11" spans="1:15" x14ac:dyDescent="0.25">
      <c r="A11" s="66">
        <v>45047</v>
      </c>
      <c r="B11" s="67" t="s">
        <v>127</v>
      </c>
      <c r="C11" s="32">
        <v>-356.08</v>
      </c>
      <c r="D11" s="45"/>
      <c r="E11" s="66"/>
      <c r="F11" s="67"/>
      <c r="G11" s="32"/>
      <c r="H11" s="45"/>
      <c r="I11" s="66"/>
      <c r="J11" s="67"/>
      <c r="K11" s="32"/>
      <c r="L11" s="45"/>
      <c r="M11" s="66"/>
      <c r="N11" s="67"/>
      <c r="O11" s="32"/>
    </row>
    <row r="12" spans="1:15" x14ac:dyDescent="0.25">
      <c r="A12" s="66">
        <v>45047</v>
      </c>
      <c r="B12" s="67" t="s">
        <v>128</v>
      </c>
      <c r="C12" s="32">
        <v>-19.989999999999998</v>
      </c>
      <c r="D12" s="61"/>
      <c r="E12" s="66"/>
      <c r="F12" s="67"/>
      <c r="G12" s="32"/>
      <c r="H12" s="61"/>
      <c r="I12" s="66"/>
      <c r="J12" s="67"/>
      <c r="K12" s="32"/>
      <c r="L12" s="61"/>
      <c r="M12" s="66"/>
      <c r="N12" s="67"/>
      <c r="O12" s="32"/>
    </row>
    <row r="13" spans="1:15" x14ac:dyDescent="0.25">
      <c r="A13" s="66">
        <v>45048</v>
      </c>
      <c r="B13" s="67" t="s">
        <v>124</v>
      </c>
      <c r="C13" s="32">
        <v>-581.72</v>
      </c>
      <c r="D13" s="61"/>
      <c r="E13" s="66" t="str">
        <f>IF(C27&lt;0,E4,"")</f>
        <v/>
      </c>
      <c r="F13" s="67" t="str">
        <f>IF(C27&lt;0,"Juros 8% Mês "&amp;A2,"")</f>
        <v/>
      </c>
      <c r="G13" s="32">
        <f>C27</f>
        <v>0</v>
      </c>
      <c r="H13" s="61"/>
      <c r="I13" s="66" t="str">
        <f>IF(G27&lt;0,I4,"")</f>
        <v/>
      </c>
      <c r="J13" s="67" t="str">
        <f>IF(G27&lt;0,"Juros 8% Mês "&amp;E2,"")</f>
        <v/>
      </c>
      <c r="K13" s="32">
        <f>G27</f>
        <v>0</v>
      </c>
      <c r="L13" s="61"/>
      <c r="M13" s="66" t="str">
        <f>IF(K27&lt;0,M4,"")</f>
        <v/>
      </c>
      <c r="N13" s="67" t="str">
        <f>IF(K27&lt;0,"Juros 8% Mês "&amp;I2,"")</f>
        <v/>
      </c>
      <c r="O13" s="32">
        <f>K27</f>
        <v>0</v>
      </c>
    </row>
    <row r="14" spans="1:15" ht="3" customHeight="1" x14ac:dyDescent="0.25">
      <c r="A14" s="47"/>
      <c r="B14" s="61"/>
      <c r="C14" s="42"/>
      <c r="D14" s="61"/>
      <c r="E14" s="47"/>
      <c r="F14" s="61"/>
      <c r="G14" s="42"/>
      <c r="H14" s="61"/>
      <c r="I14" s="47"/>
      <c r="J14" s="61"/>
      <c r="K14" s="42"/>
      <c r="L14" s="61"/>
      <c r="M14" s="47"/>
      <c r="N14" s="61"/>
      <c r="O14" s="42"/>
    </row>
    <row r="15" spans="1:15" ht="15.75" customHeight="1" x14ac:dyDescent="0.25">
      <c r="A15" s="68" t="s">
        <v>109</v>
      </c>
      <c r="B15" s="69">
        <f>A4</f>
        <v>45047</v>
      </c>
      <c r="C15" s="52">
        <f>SUM(C4:C13)</f>
        <v>-6970.9400000000005</v>
      </c>
      <c r="D15" s="45"/>
      <c r="E15" s="68" t="s">
        <v>109</v>
      </c>
      <c r="F15" s="69">
        <f>E4</f>
        <v>45078</v>
      </c>
      <c r="G15" s="52">
        <f>SUM(G4:G13)</f>
        <v>-6152.8900000000012</v>
      </c>
      <c r="H15" s="45"/>
      <c r="I15" s="68" t="s">
        <v>109</v>
      </c>
      <c r="J15" s="69">
        <f>I4</f>
        <v>45108</v>
      </c>
      <c r="K15" s="52">
        <f>SUM(K4:K13)</f>
        <v>-7534.840000000002</v>
      </c>
      <c r="L15" s="45"/>
      <c r="M15" s="68" t="s">
        <v>109</v>
      </c>
      <c r="N15" s="69">
        <f>M4</f>
        <v>45139</v>
      </c>
      <c r="O15" s="52">
        <f>SUM(O4:O13)</f>
        <v>-5969.9200000000019</v>
      </c>
    </row>
    <row r="16" spans="1:15" ht="3" customHeight="1" x14ac:dyDescent="0.25">
      <c r="A16" s="48"/>
      <c r="B16" s="61"/>
      <c r="C16" s="43"/>
      <c r="D16" s="61"/>
      <c r="E16" s="48"/>
      <c r="F16" s="61"/>
      <c r="G16" s="43"/>
      <c r="H16" s="61"/>
      <c r="I16" s="48"/>
      <c r="J16" s="61"/>
      <c r="K16" s="43"/>
      <c r="L16" s="61"/>
      <c r="M16" s="48"/>
      <c r="N16" s="61"/>
      <c r="O16" s="43"/>
    </row>
    <row r="17" spans="1:15" x14ac:dyDescent="0.25">
      <c r="A17" s="72">
        <v>45084</v>
      </c>
      <c r="B17" s="73" t="s">
        <v>31</v>
      </c>
      <c r="C17" s="55">
        <v>2000</v>
      </c>
      <c r="D17" s="61"/>
      <c r="E17" s="72">
        <v>45113</v>
      </c>
      <c r="F17" s="73" t="s">
        <v>31</v>
      </c>
      <c r="G17" s="55">
        <v>2000</v>
      </c>
      <c r="H17" s="61"/>
      <c r="I17" s="72">
        <v>45140</v>
      </c>
      <c r="J17" s="73" t="s">
        <v>31</v>
      </c>
      <c r="K17" s="55">
        <v>1300</v>
      </c>
      <c r="L17" s="61"/>
      <c r="M17" s="72">
        <v>45170</v>
      </c>
      <c r="N17" s="73" t="s">
        <v>148</v>
      </c>
      <c r="O17" s="55">
        <v>5000</v>
      </c>
    </row>
    <row r="18" spans="1:15" x14ac:dyDescent="0.25">
      <c r="A18" s="72">
        <v>45084</v>
      </c>
      <c r="B18" s="73" t="s">
        <v>32</v>
      </c>
      <c r="C18" s="55">
        <v>2000</v>
      </c>
      <c r="D18" s="61"/>
      <c r="E18" s="72">
        <v>45114</v>
      </c>
      <c r="F18" s="73" t="s">
        <v>31</v>
      </c>
      <c r="G18" s="55">
        <v>1800</v>
      </c>
      <c r="H18" s="61"/>
      <c r="I18" s="72">
        <v>45140</v>
      </c>
      <c r="J18" s="73" t="s">
        <v>149</v>
      </c>
      <c r="K18" s="55">
        <v>2000</v>
      </c>
      <c r="L18" s="61"/>
      <c r="M18" s="72">
        <v>45177</v>
      </c>
      <c r="N18" s="73" t="s">
        <v>31</v>
      </c>
      <c r="O18" s="55">
        <v>800</v>
      </c>
    </row>
    <row r="19" spans="1:15" x14ac:dyDescent="0.25">
      <c r="A19" s="72">
        <v>45086</v>
      </c>
      <c r="B19" s="73" t="s">
        <v>31</v>
      </c>
      <c r="C19" s="55">
        <v>1000</v>
      </c>
      <c r="D19" s="61"/>
      <c r="E19" s="72">
        <v>45117</v>
      </c>
      <c r="F19" s="73" t="s">
        <v>31</v>
      </c>
      <c r="G19" s="55">
        <v>1000</v>
      </c>
      <c r="H19" s="61"/>
      <c r="I19" s="72">
        <v>45141</v>
      </c>
      <c r="J19" s="73" t="s">
        <v>31</v>
      </c>
      <c r="K19" s="55">
        <v>1944</v>
      </c>
      <c r="L19" s="61"/>
      <c r="M19" s="72"/>
      <c r="N19" s="73"/>
      <c r="O19" s="55"/>
    </row>
    <row r="20" spans="1:15" x14ac:dyDescent="0.25">
      <c r="A20" s="72"/>
      <c r="B20" s="73"/>
      <c r="C20" s="55"/>
      <c r="D20" s="61"/>
      <c r="E20" s="72"/>
      <c r="F20" s="73"/>
      <c r="G20" s="55"/>
      <c r="H20" s="61"/>
      <c r="I20" s="72">
        <v>45142</v>
      </c>
      <c r="J20" s="73" t="s">
        <v>31</v>
      </c>
      <c r="K20" s="55">
        <v>1000</v>
      </c>
      <c r="L20" s="61"/>
      <c r="M20" s="72"/>
      <c r="N20" s="73"/>
      <c r="O20" s="55"/>
    </row>
    <row r="21" spans="1:15" x14ac:dyDescent="0.25">
      <c r="A21" s="72">
        <v>45107</v>
      </c>
      <c r="B21" s="73" t="s">
        <v>149</v>
      </c>
      <c r="C21" s="55">
        <v>2000</v>
      </c>
      <c r="D21" s="61"/>
      <c r="E21" s="72"/>
      <c r="F21" s="73"/>
      <c r="G21" s="55"/>
      <c r="H21" s="61"/>
      <c r="I21" s="72">
        <v>45149</v>
      </c>
      <c r="J21" s="73" t="s">
        <v>31</v>
      </c>
      <c r="K21" s="55">
        <v>500</v>
      </c>
      <c r="L21" s="61"/>
      <c r="M21" s="72"/>
      <c r="N21" s="73"/>
      <c r="O21" s="55"/>
    </row>
    <row r="22" spans="1:15" ht="3" customHeight="1" x14ac:dyDescent="0.25">
      <c r="A22" s="47"/>
      <c r="B22" s="61"/>
      <c r="C22" s="42"/>
      <c r="D22" s="61"/>
      <c r="E22" s="47"/>
      <c r="F22" s="61"/>
      <c r="G22" s="42"/>
      <c r="H22" s="61"/>
      <c r="I22" s="47"/>
      <c r="J22" s="61"/>
      <c r="K22" s="42"/>
      <c r="L22" s="61"/>
      <c r="M22" s="47"/>
      <c r="N22" s="61"/>
      <c r="O22" s="42"/>
    </row>
    <row r="23" spans="1:15" ht="15.75" customHeight="1" x14ac:dyDescent="0.25">
      <c r="A23" s="74" t="s">
        <v>131</v>
      </c>
      <c r="B23" s="73" t="s">
        <v>110</v>
      </c>
      <c r="C23" s="57">
        <f>SUM(C17:C21)</f>
        <v>7000</v>
      </c>
      <c r="D23" s="61"/>
      <c r="E23" s="74" t="s">
        <v>131</v>
      </c>
      <c r="F23" s="73" t="s">
        <v>110</v>
      </c>
      <c r="G23" s="57">
        <f>SUM(G17:G21)</f>
        <v>4800</v>
      </c>
      <c r="H23" s="61"/>
      <c r="I23" s="74" t="s">
        <v>131</v>
      </c>
      <c r="J23" s="73" t="s">
        <v>110</v>
      </c>
      <c r="K23" s="57">
        <f>SUM(K17:K21)</f>
        <v>6744</v>
      </c>
      <c r="L23" s="61"/>
      <c r="M23" s="74" t="s">
        <v>3</v>
      </c>
      <c r="N23" s="73" t="s">
        <v>110</v>
      </c>
      <c r="O23" s="57">
        <f>SUM(O17:O21)</f>
        <v>5800</v>
      </c>
    </row>
    <row r="24" spans="1:15" ht="3" customHeight="1" x14ac:dyDescent="0.25">
      <c r="A24" s="47"/>
      <c r="B24" s="61"/>
      <c r="C24" s="60"/>
      <c r="D24" s="61"/>
      <c r="E24" s="47"/>
      <c r="F24" s="61"/>
      <c r="G24" s="60"/>
      <c r="H24" s="61"/>
      <c r="I24" s="47"/>
      <c r="J24" s="61"/>
      <c r="K24" s="60"/>
      <c r="L24" s="61"/>
      <c r="M24" s="47"/>
      <c r="N24" s="61"/>
      <c r="O24" s="60"/>
    </row>
    <row r="25" spans="1:15" ht="15.75" customHeight="1" x14ac:dyDescent="0.25">
      <c r="A25" s="75" t="s">
        <v>111</v>
      </c>
      <c r="B25" s="76">
        <f>B15</f>
        <v>45047</v>
      </c>
      <c r="C25" s="25">
        <f>C15+C23</f>
        <v>29.059999999999491</v>
      </c>
      <c r="D25" s="61"/>
      <c r="E25" s="75" t="s">
        <v>111</v>
      </c>
      <c r="F25" s="76">
        <f>F15</f>
        <v>45078</v>
      </c>
      <c r="G25" s="25">
        <f>G15+G23</f>
        <v>-1352.8900000000012</v>
      </c>
      <c r="H25" s="61"/>
      <c r="I25" s="75" t="s">
        <v>111</v>
      </c>
      <c r="J25" s="76">
        <f>J15</f>
        <v>45108</v>
      </c>
      <c r="K25" s="25">
        <f>K15+K23</f>
        <v>-790.84000000000196</v>
      </c>
      <c r="L25" s="61"/>
      <c r="M25" s="75" t="s">
        <v>111</v>
      </c>
      <c r="N25" s="76">
        <f>N15</f>
        <v>45139</v>
      </c>
      <c r="O25" s="25">
        <f>O15+O23</f>
        <v>-169.92000000000189</v>
      </c>
    </row>
    <row r="26" spans="1:15" ht="3" customHeight="1" x14ac:dyDescent="0.25">
      <c r="A26" s="47"/>
      <c r="B26" s="61"/>
      <c r="C26" s="60"/>
      <c r="D26" s="61"/>
      <c r="E26" s="47"/>
      <c r="F26" s="61"/>
      <c r="G26" s="60"/>
      <c r="H26" s="61"/>
      <c r="I26" s="47"/>
      <c r="J26" s="61"/>
      <c r="K26" s="60"/>
      <c r="L26" s="61"/>
      <c r="M26" s="47"/>
      <c r="N26" s="61"/>
      <c r="O26" s="60"/>
    </row>
    <row r="27" spans="1:15" x14ac:dyDescent="0.25">
      <c r="A27" s="77"/>
      <c r="B27" s="63"/>
      <c r="C27" s="64"/>
      <c r="D27" s="61"/>
      <c r="E27" s="77"/>
      <c r="F27" s="63"/>
      <c r="G27" s="64"/>
      <c r="H27" s="61"/>
      <c r="I27" s="77"/>
      <c r="J27" s="63"/>
      <c r="K27" s="64"/>
      <c r="L27" s="61"/>
      <c r="M27" s="77"/>
      <c r="N27" s="63"/>
      <c r="O27" s="64"/>
    </row>
    <row r="28" spans="1:15" ht="3" customHeight="1" x14ac:dyDescent="0.25"/>
    <row r="29" spans="1:15" ht="20.25" customHeight="1" x14ac:dyDescent="0.3">
      <c r="A29" s="112" t="str">
        <f>UPPER(TEXT(A31,"mmmm")&amp;" "&amp;TEXT(A31,"aaaa"))</f>
        <v>SETEMBRO 2023</v>
      </c>
      <c r="B29" s="113"/>
      <c r="C29" s="113"/>
      <c r="D29" s="61"/>
      <c r="E29" s="112" t="str">
        <f>UPPER(TEXT(E31,"mmmm")&amp;" "&amp;TEXT(E31,"aaaa"))</f>
        <v>OUTUBRO 2023</v>
      </c>
      <c r="F29" s="113"/>
      <c r="G29" s="113"/>
      <c r="H29" s="61"/>
      <c r="I29" s="112" t="str">
        <f>UPPER(TEXT(I31,"mmmm")&amp;" "&amp;TEXT(I31,"aaaa"))</f>
        <v>NOVEMBRO 2023</v>
      </c>
      <c r="J29" s="113"/>
      <c r="K29" s="113"/>
      <c r="L29" s="61"/>
      <c r="M29" s="112" t="str">
        <f>UPPER(TEXT(M31,"mmmm")&amp;" "&amp;TEXT(M31,"aaaa"))</f>
        <v>DEZEMBRO 2023</v>
      </c>
      <c r="N29" s="113"/>
      <c r="O29" s="113"/>
    </row>
    <row r="30" spans="1:15" x14ac:dyDescent="0.25">
      <c r="A30" s="47" t="s">
        <v>97</v>
      </c>
      <c r="B30" s="48" t="s">
        <v>98</v>
      </c>
      <c r="C30" s="49" t="s">
        <v>99</v>
      </c>
      <c r="D30" s="61"/>
      <c r="E30" s="47" t="s">
        <v>97</v>
      </c>
      <c r="F30" s="48" t="s">
        <v>98</v>
      </c>
      <c r="G30" s="49" t="s">
        <v>99</v>
      </c>
      <c r="H30" s="61"/>
      <c r="I30" s="47" t="s">
        <v>97</v>
      </c>
      <c r="J30" s="48" t="s">
        <v>98</v>
      </c>
      <c r="K30" s="49" t="s">
        <v>99</v>
      </c>
      <c r="L30" s="61"/>
      <c r="M30" s="47" t="s">
        <v>97</v>
      </c>
      <c r="N30" s="48" t="s">
        <v>98</v>
      </c>
      <c r="O30" s="49" t="s">
        <v>99</v>
      </c>
    </row>
    <row r="31" spans="1:15" x14ac:dyDescent="0.25">
      <c r="A31" s="66">
        <v>45170</v>
      </c>
      <c r="B31" s="67" t="str">
        <f>"SALDO "&amp;UPPER(TEXT(A31-1,"mmmm"))</f>
        <v>SALDO AGOSTO</v>
      </c>
      <c r="C31" s="32">
        <f>O25</f>
        <v>-169.92000000000189</v>
      </c>
      <c r="D31" s="61"/>
      <c r="E31" s="66">
        <v>45200</v>
      </c>
      <c r="F31" s="67" t="str">
        <f>"SALDO "&amp;UPPER(TEXT(E31-1,"mmmm"))</f>
        <v>SALDO SETEMBRO</v>
      </c>
      <c r="G31" s="32">
        <f>C48</f>
        <v>-394.00000000000182</v>
      </c>
      <c r="H31" s="61"/>
      <c r="I31" s="66">
        <v>45231</v>
      </c>
      <c r="J31" s="67" t="str">
        <f>"SALDO "&amp;UPPER(TEXT(I31-1,"mmmm"))</f>
        <v>SALDO OUTUBRO</v>
      </c>
      <c r="K31" s="32">
        <f>G48</f>
        <v>-717.00000000000182</v>
      </c>
      <c r="L31" s="61"/>
      <c r="M31" s="66">
        <v>45261</v>
      </c>
      <c r="N31" s="67" t="str">
        <f>"SALDO "&amp;UPPER(TEXT(M31-1,"mmmm"))</f>
        <v>SALDO NOVEMBRO</v>
      </c>
      <c r="O31" s="58">
        <f>K48</f>
        <v>-1590.0000000000018</v>
      </c>
    </row>
    <row r="32" spans="1:15" x14ac:dyDescent="0.25">
      <c r="A32" s="66">
        <v>45198</v>
      </c>
      <c r="B32" s="67" t="s">
        <v>45</v>
      </c>
      <c r="C32" s="58">
        <v>-2060.08</v>
      </c>
      <c r="D32" s="61"/>
      <c r="E32" s="66">
        <v>45228</v>
      </c>
      <c r="F32" s="67" t="s">
        <v>46</v>
      </c>
      <c r="G32" s="58">
        <v>-2060.08</v>
      </c>
      <c r="H32" s="61"/>
      <c r="I32" s="66">
        <v>45259</v>
      </c>
      <c r="J32" s="67" t="s">
        <v>47</v>
      </c>
      <c r="K32" s="58">
        <v>-2060.08</v>
      </c>
      <c r="L32" s="61"/>
      <c r="M32" s="66">
        <v>45289</v>
      </c>
      <c r="N32" s="67" t="s">
        <v>48</v>
      </c>
      <c r="O32" s="58">
        <v>-2060.08</v>
      </c>
    </row>
    <row r="33" spans="1:15" x14ac:dyDescent="0.25">
      <c r="A33" s="66">
        <v>45199</v>
      </c>
      <c r="B33" s="67" t="s">
        <v>91</v>
      </c>
      <c r="C33" s="58">
        <v>-2762.92</v>
      </c>
      <c r="D33" s="61"/>
      <c r="E33" s="66">
        <v>45229</v>
      </c>
      <c r="F33" s="67" t="s">
        <v>92</v>
      </c>
      <c r="G33" s="58">
        <v>-2762.92</v>
      </c>
      <c r="H33" s="61"/>
      <c r="I33" s="66">
        <v>45260</v>
      </c>
      <c r="J33" s="67" t="s">
        <v>93</v>
      </c>
      <c r="K33" s="58">
        <v>-2762.92</v>
      </c>
      <c r="L33" s="61"/>
      <c r="M33" s="66">
        <v>45290</v>
      </c>
      <c r="N33" s="67" t="s">
        <v>94</v>
      </c>
      <c r="O33" s="58">
        <v>-2762.92</v>
      </c>
    </row>
    <row r="34" spans="1:15" x14ac:dyDescent="0.25">
      <c r="A34" s="66">
        <v>45199</v>
      </c>
      <c r="B34" s="67" t="s">
        <v>132</v>
      </c>
      <c r="C34" s="58">
        <v>-356.08</v>
      </c>
      <c r="D34" s="61"/>
      <c r="E34" s="66"/>
      <c r="F34" s="67"/>
      <c r="G34" s="58"/>
      <c r="H34" s="61"/>
      <c r="I34" s="66"/>
      <c r="J34" s="67"/>
      <c r="K34" s="58"/>
      <c r="L34" s="61"/>
      <c r="M34" s="66"/>
      <c r="N34" s="67"/>
      <c r="O34" s="58"/>
    </row>
    <row r="35" spans="1:15" x14ac:dyDescent="0.25">
      <c r="A35" s="66"/>
      <c r="B35" s="67"/>
      <c r="C35" s="58"/>
      <c r="D35" s="61"/>
      <c r="E35" s="66"/>
      <c r="F35" s="67"/>
      <c r="G35" s="58"/>
      <c r="H35" s="61"/>
      <c r="I35" s="66"/>
      <c r="J35" s="67"/>
      <c r="K35" s="58"/>
      <c r="L35" s="61"/>
      <c r="M35" s="66"/>
      <c r="N35" s="67"/>
      <c r="O35" s="106">
        <v>655.20000000000005</v>
      </c>
    </row>
    <row r="36" spans="1:15" x14ac:dyDescent="0.25">
      <c r="A36" s="66" t="str">
        <f>IF(O27&lt;0,A31,"")</f>
        <v/>
      </c>
      <c r="B36" s="67" t="str">
        <f>IF(O27&lt;0,"Juros 8% Mês "&amp;M2,"")</f>
        <v/>
      </c>
      <c r="C36" s="32">
        <f>'05-08 de 23'!O74</f>
        <v>0</v>
      </c>
      <c r="D36" s="61"/>
      <c r="E36" s="66" t="str">
        <f>IF(C50&lt;0,E31,"")</f>
        <v/>
      </c>
      <c r="F36" s="67" t="str">
        <f>IF(C50&lt;0,"Juros 8% Mês "&amp;A29,"")</f>
        <v/>
      </c>
      <c r="G36" s="32">
        <f>C50</f>
        <v>0</v>
      </c>
      <c r="H36" s="61"/>
      <c r="I36" s="66" t="str">
        <f>IF(G50&lt;0,I31,"")</f>
        <v/>
      </c>
      <c r="J36" s="67" t="str">
        <f>IF(G50&lt;0,"Juros 8% Mês "&amp;E29,"")</f>
        <v/>
      </c>
      <c r="K36" s="32">
        <f>G50</f>
        <v>0</v>
      </c>
      <c r="L36" s="61"/>
      <c r="M36" s="66" t="str">
        <f>IF(K50&lt;0,M31,"")</f>
        <v/>
      </c>
      <c r="N36" s="67" t="str">
        <f>IF(K50&lt;0,"Juros 8% Mês "&amp;I29,"")</f>
        <v/>
      </c>
      <c r="O36" s="32">
        <f>K50</f>
        <v>0</v>
      </c>
    </row>
    <row r="37" spans="1:15" ht="3" customHeight="1" x14ac:dyDescent="0.25">
      <c r="A37" s="47"/>
      <c r="B37" s="61"/>
      <c r="C37" s="42"/>
      <c r="D37" s="61"/>
      <c r="E37" s="47"/>
      <c r="F37" s="61"/>
      <c r="G37" s="42"/>
      <c r="H37" s="61"/>
      <c r="I37" s="47"/>
      <c r="J37" s="61"/>
      <c r="K37" s="42"/>
      <c r="L37" s="61"/>
      <c r="M37" s="47"/>
      <c r="N37" s="61"/>
      <c r="O37" s="42"/>
    </row>
    <row r="38" spans="1:15" ht="15.75" customHeight="1" x14ac:dyDescent="0.25">
      <c r="A38" s="68" t="s">
        <v>109</v>
      </c>
      <c r="B38" s="69">
        <f>A31</f>
        <v>45170</v>
      </c>
      <c r="C38" s="52">
        <f>SUM(C31:C36)</f>
        <v>-5349.0000000000018</v>
      </c>
      <c r="D38" s="45"/>
      <c r="E38" s="68" t="s">
        <v>109</v>
      </c>
      <c r="F38" s="69">
        <f>E31</f>
        <v>45200</v>
      </c>
      <c r="G38" s="52">
        <f>SUM(G31:G36)</f>
        <v>-5217.0000000000018</v>
      </c>
      <c r="H38" s="45"/>
      <c r="I38" s="68" t="s">
        <v>109</v>
      </c>
      <c r="J38" s="69">
        <f>I31</f>
        <v>45231</v>
      </c>
      <c r="K38" s="52">
        <f>SUM(K31:K36)</f>
        <v>-5540.0000000000018</v>
      </c>
      <c r="L38" s="45"/>
      <c r="M38" s="68" t="s">
        <v>109</v>
      </c>
      <c r="N38" s="69">
        <f>M31</f>
        <v>45261</v>
      </c>
      <c r="O38" s="52">
        <f>SUM(O31:O36)</f>
        <v>-5757.800000000002</v>
      </c>
    </row>
    <row r="39" spans="1:15" ht="3" customHeight="1" x14ac:dyDescent="0.25">
      <c r="A39" s="48"/>
      <c r="B39" s="61"/>
      <c r="C39" s="43"/>
      <c r="D39" s="61"/>
      <c r="E39" s="48"/>
      <c r="F39" s="61"/>
      <c r="G39" s="43"/>
      <c r="H39" s="61"/>
      <c r="I39" s="48"/>
      <c r="J39" s="61"/>
      <c r="K39" s="43"/>
      <c r="L39" s="61"/>
      <c r="M39" s="48"/>
      <c r="N39" s="61"/>
      <c r="O39" s="43"/>
    </row>
    <row r="40" spans="1:15" x14ac:dyDescent="0.25">
      <c r="A40" s="72">
        <v>45203</v>
      </c>
      <c r="B40" s="73" t="s">
        <v>148</v>
      </c>
      <c r="C40" s="55">
        <v>1000</v>
      </c>
      <c r="D40" s="61"/>
      <c r="E40" s="72">
        <v>45237</v>
      </c>
      <c r="F40" s="73" t="s">
        <v>138</v>
      </c>
      <c r="G40" s="55">
        <v>1000</v>
      </c>
      <c r="H40" s="61"/>
      <c r="I40" s="72">
        <v>45269</v>
      </c>
      <c r="J40" s="73" t="s">
        <v>31</v>
      </c>
      <c r="K40" s="55">
        <v>1950</v>
      </c>
      <c r="L40" s="61"/>
      <c r="M40" s="72">
        <v>45293</v>
      </c>
      <c r="N40" s="73" t="s">
        <v>31</v>
      </c>
      <c r="O40" s="55">
        <v>500</v>
      </c>
    </row>
    <row r="41" spans="1:15" x14ac:dyDescent="0.25">
      <c r="A41" s="72">
        <v>45205</v>
      </c>
      <c r="B41" s="73" t="s">
        <v>31</v>
      </c>
      <c r="C41" s="55">
        <v>1955</v>
      </c>
      <c r="D41" s="61"/>
      <c r="E41" s="72">
        <v>45238</v>
      </c>
      <c r="F41" s="73" t="s">
        <v>138</v>
      </c>
      <c r="G41" s="55">
        <v>2000</v>
      </c>
      <c r="H41" s="61"/>
      <c r="I41" s="72">
        <v>45272</v>
      </c>
      <c r="J41" s="73" t="s">
        <v>31</v>
      </c>
      <c r="K41" s="55">
        <v>500</v>
      </c>
      <c r="L41" s="61"/>
      <c r="M41" s="72">
        <v>45303</v>
      </c>
      <c r="N41" s="73" t="s">
        <v>31</v>
      </c>
      <c r="O41" s="55">
        <v>2000</v>
      </c>
    </row>
    <row r="42" spans="1:15" x14ac:dyDescent="0.25">
      <c r="A42" s="72">
        <v>45206</v>
      </c>
      <c r="B42" s="73" t="s">
        <v>31</v>
      </c>
      <c r="C42" s="55">
        <v>2000</v>
      </c>
      <c r="D42" s="61"/>
      <c r="E42" s="72">
        <v>45239</v>
      </c>
      <c r="F42" s="73" t="s">
        <v>138</v>
      </c>
      <c r="G42" s="55">
        <v>1500</v>
      </c>
      <c r="H42" s="61"/>
      <c r="I42" s="72">
        <v>45288</v>
      </c>
      <c r="J42" s="73" t="s">
        <v>31</v>
      </c>
      <c r="K42" s="55">
        <v>1500</v>
      </c>
      <c r="L42" s="61"/>
      <c r="M42" s="72">
        <v>45310</v>
      </c>
      <c r="N42" s="73" t="s">
        <v>31</v>
      </c>
      <c r="O42" s="55">
        <v>2000</v>
      </c>
    </row>
    <row r="43" spans="1:15" x14ac:dyDescent="0.25">
      <c r="A43" s="72"/>
      <c r="B43" s="73"/>
      <c r="C43" s="55"/>
      <c r="D43" s="61"/>
      <c r="E43" s="72"/>
      <c r="F43" s="73"/>
      <c r="G43" s="55"/>
      <c r="H43" s="61"/>
      <c r="I43" s="72"/>
      <c r="J43" s="73"/>
      <c r="K43" s="55"/>
      <c r="L43" s="61"/>
      <c r="M43" s="72">
        <v>45311</v>
      </c>
      <c r="N43" s="73" t="s">
        <v>31</v>
      </c>
      <c r="O43" s="55">
        <v>500</v>
      </c>
    </row>
    <row r="44" spans="1:15" x14ac:dyDescent="0.25">
      <c r="A44" s="72"/>
      <c r="B44" s="73"/>
      <c r="C44" s="55"/>
      <c r="D44" s="61"/>
      <c r="E44" s="72"/>
      <c r="F44" s="73"/>
      <c r="G44" s="55"/>
      <c r="H44" s="61"/>
      <c r="I44" s="72"/>
      <c r="J44" s="73"/>
      <c r="K44" s="55"/>
      <c r="L44" s="61"/>
      <c r="M44" s="72"/>
      <c r="N44" s="73"/>
      <c r="O44" s="55"/>
    </row>
    <row r="45" spans="1:15" ht="3" customHeight="1" x14ac:dyDescent="0.25">
      <c r="A45" s="47"/>
      <c r="B45" s="61"/>
      <c r="C45" s="42"/>
      <c r="D45" s="61"/>
      <c r="E45" s="47"/>
      <c r="F45" s="61"/>
      <c r="G45" s="42"/>
      <c r="H45" s="61"/>
      <c r="I45" s="47"/>
      <c r="J45" s="61"/>
      <c r="K45" s="42"/>
      <c r="L45" s="61"/>
      <c r="M45" s="47"/>
      <c r="N45" s="61"/>
      <c r="O45" s="42"/>
    </row>
    <row r="46" spans="1:15" ht="15.75" customHeight="1" x14ac:dyDescent="0.25">
      <c r="A46" s="74"/>
      <c r="B46" s="73" t="s">
        <v>104</v>
      </c>
      <c r="C46" s="57">
        <f>SUM(C40:C44)</f>
        <v>4955</v>
      </c>
      <c r="D46" s="61"/>
      <c r="E46" s="74"/>
      <c r="F46" s="73" t="s">
        <v>104</v>
      </c>
      <c r="G46" s="57">
        <f>SUM(G40:G44)</f>
        <v>4500</v>
      </c>
      <c r="H46" s="61"/>
      <c r="I46" s="74"/>
      <c r="J46" s="73" t="s">
        <v>104</v>
      </c>
      <c r="K46" s="57">
        <f>SUM(K40:K44)</f>
        <v>3950</v>
      </c>
      <c r="L46" s="61"/>
      <c r="M46" s="74"/>
      <c r="N46" s="73" t="s">
        <v>104</v>
      </c>
      <c r="O46" s="57">
        <f>SUM(O40:O44)</f>
        <v>5000</v>
      </c>
    </row>
    <row r="47" spans="1:15" ht="3" customHeight="1" x14ac:dyDescent="0.25">
      <c r="A47" s="47"/>
      <c r="B47" s="61"/>
      <c r="C47" s="60"/>
      <c r="D47" s="61"/>
      <c r="E47" s="47"/>
      <c r="F47" s="61"/>
      <c r="G47" s="60"/>
      <c r="H47" s="61"/>
      <c r="I47" s="47"/>
      <c r="J47" s="61"/>
      <c r="K47" s="60"/>
      <c r="L47" s="61"/>
      <c r="M47" s="47"/>
      <c r="N47" s="61"/>
      <c r="O47" s="60"/>
    </row>
    <row r="48" spans="1:15" ht="15.75" customHeight="1" x14ac:dyDescent="0.25">
      <c r="A48" s="75"/>
      <c r="B48" s="76" t="s">
        <v>139</v>
      </c>
      <c r="C48" s="25">
        <f>C38+C46</f>
        <v>-394.00000000000182</v>
      </c>
      <c r="D48" s="45"/>
      <c r="E48" s="75"/>
      <c r="F48" s="76" t="s">
        <v>140</v>
      </c>
      <c r="G48" s="25">
        <f>G38+G46</f>
        <v>-717.00000000000182</v>
      </c>
      <c r="H48" s="45"/>
      <c r="I48" s="75"/>
      <c r="J48" s="76" t="s">
        <v>141</v>
      </c>
      <c r="K48" s="25">
        <f>K38+K46</f>
        <v>-1590.0000000000018</v>
      </c>
      <c r="L48" s="45"/>
      <c r="M48" s="75"/>
      <c r="N48" s="76" t="s">
        <v>142</v>
      </c>
      <c r="O48" s="25">
        <f>O38+O46</f>
        <v>-757.800000000002</v>
      </c>
    </row>
    <row r="49" spans="1:15" ht="3" customHeight="1" x14ac:dyDescent="0.25">
      <c r="A49" s="47"/>
      <c r="B49" s="61"/>
      <c r="C49" s="60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</row>
    <row r="50" spans="1:15" x14ac:dyDescent="0.25">
      <c r="A50" s="77"/>
      <c r="B50" s="63"/>
      <c r="C50" s="64"/>
      <c r="D50" s="61"/>
      <c r="E50" s="77"/>
      <c r="F50" s="63"/>
      <c r="G50" s="64"/>
      <c r="H50" s="61"/>
      <c r="I50" s="77"/>
      <c r="J50" s="63"/>
      <c r="K50" s="64"/>
      <c r="L50" s="61"/>
      <c r="M50" s="77"/>
      <c r="N50" s="63"/>
      <c r="O50" s="64"/>
    </row>
    <row r="51" spans="1:15" ht="15" customHeight="1" x14ac:dyDescent="0.25"/>
    <row r="52" spans="1:15" ht="20.25" customHeight="1" x14ac:dyDescent="0.3">
      <c r="A52" s="112" t="str">
        <f>UPPER(TEXT(A54,"mmmm")&amp;" "&amp;TEXT(A54,"aaaa"))</f>
        <v>JANEIRO 2024</v>
      </c>
      <c r="B52" s="113"/>
      <c r="C52" s="113"/>
      <c r="D52" s="61"/>
      <c r="E52" s="112" t="str">
        <f>UPPER(TEXT(E54,"mmmm")&amp;" "&amp;TEXT(E54,"aaaa"))</f>
        <v>FEVEREIRO 2024</v>
      </c>
      <c r="F52" s="113"/>
      <c r="G52" s="113"/>
      <c r="H52" s="61"/>
      <c r="I52" s="112" t="str">
        <f>UPPER(TEXT(I54,"mmmm")&amp;" "&amp;TEXT(I54,"aaaa"))</f>
        <v>MARÇO 2024</v>
      </c>
      <c r="J52" s="113"/>
      <c r="K52" s="113"/>
      <c r="L52" s="61"/>
      <c r="M52" s="112" t="str">
        <f>UPPER(TEXT(M54,"mmmm")&amp;" "&amp;TEXT(M54,"aaaa"))</f>
        <v>ABRIL 2024</v>
      </c>
      <c r="N52" s="113"/>
      <c r="O52" s="113"/>
    </row>
    <row r="53" spans="1:15" x14ac:dyDescent="0.25">
      <c r="A53" s="47" t="s">
        <v>97</v>
      </c>
      <c r="B53" s="48" t="s">
        <v>98</v>
      </c>
      <c r="C53" s="49" t="s">
        <v>99</v>
      </c>
      <c r="D53" s="61"/>
      <c r="E53" s="47" t="s">
        <v>97</v>
      </c>
      <c r="F53" s="48" t="s">
        <v>98</v>
      </c>
      <c r="G53" s="49" t="s">
        <v>99</v>
      </c>
      <c r="H53" s="61"/>
      <c r="I53" s="47" t="s">
        <v>97</v>
      </c>
      <c r="J53" s="48" t="s">
        <v>98</v>
      </c>
      <c r="K53" s="49" t="s">
        <v>99</v>
      </c>
      <c r="L53" s="61"/>
      <c r="M53" s="47" t="s">
        <v>97</v>
      </c>
      <c r="N53" s="48" t="s">
        <v>98</v>
      </c>
      <c r="O53" s="49" t="s">
        <v>99</v>
      </c>
    </row>
    <row r="54" spans="1:15" x14ac:dyDescent="0.25">
      <c r="A54" s="66">
        <v>45292</v>
      </c>
      <c r="B54" s="67" t="str">
        <f>"SALDO "&amp;UPPER(TEXT(A54-1,"mmmm aaaa"))</f>
        <v>SALDO DEZEMBRO 2023</v>
      </c>
      <c r="C54" s="58">
        <f>O48</f>
        <v>-757.800000000002</v>
      </c>
      <c r="D54" s="61"/>
      <c r="E54" s="66">
        <v>45323</v>
      </c>
      <c r="F54" s="67" t="str">
        <f>"SALDO "&amp;UPPER(TEXT(E54-1,"mmmm"))</f>
        <v>SALDO JANEIRO</v>
      </c>
      <c r="G54" s="32">
        <f>C71</f>
        <v>-167.800000000002</v>
      </c>
      <c r="H54" s="61"/>
      <c r="I54" s="66">
        <v>45352</v>
      </c>
      <c r="J54" s="67" t="str">
        <f>"SALDO "&amp;UPPER(TEXT(I54-1,"mmmm"))</f>
        <v>SALDO FEVEREIRO</v>
      </c>
      <c r="K54" s="58">
        <f>G71</f>
        <v>-2690.800000000002</v>
      </c>
      <c r="L54" s="61"/>
      <c r="M54" s="66">
        <v>45383</v>
      </c>
      <c r="N54" s="67" t="str">
        <f>"SALDO "&amp;UPPER(TEXT(M54-1,"mmmm"))</f>
        <v>SALDO MARÇO</v>
      </c>
      <c r="O54" s="58">
        <f>K71</f>
        <v>-2750.8800000000019</v>
      </c>
    </row>
    <row r="55" spans="1:15" x14ac:dyDescent="0.25">
      <c r="A55" s="66">
        <v>45320</v>
      </c>
      <c r="B55" s="67" t="s">
        <v>49</v>
      </c>
      <c r="C55" s="58">
        <v>-2060.08</v>
      </c>
      <c r="D55" s="61"/>
      <c r="E55" s="66">
        <v>45351</v>
      </c>
      <c r="F55" s="67" t="s">
        <v>143</v>
      </c>
      <c r="G55" s="58">
        <v>-2762.92</v>
      </c>
      <c r="H55" s="61"/>
      <c r="I55" s="66">
        <v>45380</v>
      </c>
      <c r="J55" s="67" t="s">
        <v>51</v>
      </c>
      <c r="K55" s="58">
        <v>-2060.08</v>
      </c>
      <c r="L55" s="61"/>
      <c r="M55" s="66">
        <v>45411</v>
      </c>
      <c r="N55" s="67" t="s">
        <v>52</v>
      </c>
      <c r="O55" s="58">
        <v>-2060.08</v>
      </c>
    </row>
    <row r="56" spans="1:15" x14ac:dyDescent="0.25">
      <c r="A56" s="66">
        <v>45321</v>
      </c>
      <c r="B56" s="67" t="s">
        <v>95</v>
      </c>
      <c r="C56" s="58">
        <v>-2762.92</v>
      </c>
      <c r="D56" s="61"/>
      <c r="E56" s="66">
        <v>45351</v>
      </c>
      <c r="F56" s="67" t="s">
        <v>50</v>
      </c>
      <c r="G56" s="58">
        <v>-2060.08</v>
      </c>
      <c r="H56" s="61"/>
      <c r="I56" s="66"/>
      <c r="J56" s="67"/>
      <c r="K56" s="58"/>
      <c r="L56" s="61"/>
      <c r="M56" s="66"/>
      <c r="N56" s="67"/>
      <c r="O56" s="58"/>
    </row>
    <row r="57" spans="1:15" x14ac:dyDescent="0.25">
      <c r="A57" s="66"/>
      <c r="B57" s="67"/>
      <c r="C57" s="58"/>
      <c r="D57" s="61"/>
      <c r="E57" s="66"/>
      <c r="F57" s="67"/>
      <c r="G57" s="58"/>
      <c r="H57" s="61"/>
      <c r="I57" s="66"/>
      <c r="J57" s="67"/>
      <c r="K57" s="58"/>
      <c r="L57" s="61"/>
      <c r="M57" s="66"/>
      <c r="N57" s="67"/>
      <c r="O57" s="58"/>
    </row>
    <row r="58" spans="1:15" x14ac:dyDescent="0.25">
      <c r="A58" s="66"/>
      <c r="B58" s="67"/>
      <c r="C58" s="58"/>
      <c r="D58" s="61"/>
      <c r="E58" s="66"/>
      <c r="F58" s="67"/>
      <c r="G58" s="58"/>
      <c r="H58" s="61"/>
      <c r="I58" s="66"/>
      <c r="J58" s="67"/>
      <c r="K58" s="58"/>
      <c r="L58" s="61"/>
      <c r="M58" s="66"/>
      <c r="N58" s="67"/>
      <c r="O58" s="58"/>
    </row>
    <row r="59" spans="1:15" x14ac:dyDescent="0.25">
      <c r="A59" s="66" t="str">
        <f>IF(O50&lt;0,A54,"")</f>
        <v/>
      </c>
      <c r="B59" s="67" t="str">
        <f>IF(O50&lt;0,"Juros 8% Mês "&amp;M29,"")</f>
        <v/>
      </c>
      <c r="C59" s="32">
        <f>'05-08 de 23'!O97</f>
        <v>0</v>
      </c>
      <c r="D59" s="61"/>
      <c r="E59" s="66" t="str">
        <f>IF(C73&lt;0,E54,"")</f>
        <v/>
      </c>
      <c r="F59" s="67" t="str">
        <f>IF(C73&lt;0,"Juros 8% Mês "&amp;A52,"")</f>
        <v/>
      </c>
      <c r="G59" s="32">
        <f>C73</f>
        <v>0</v>
      </c>
      <c r="H59" s="61"/>
      <c r="I59" s="66" t="str">
        <f>IF(G73&lt;0,I54,"")</f>
        <v/>
      </c>
      <c r="J59" s="67" t="str">
        <f>IF(G73&lt;0,"Juros 8% Mês "&amp;E52,"")</f>
        <v/>
      </c>
      <c r="K59" s="32">
        <f>G73</f>
        <v>0</v>
      </c>
      <c r="L59" s="61"/>
      <c r="M59" s="66" t="str">
        <f>IF(K73&lt;0,M54,"")</f>
        <v/>
      </c>
      <c r="N59" s="67" t="str">
        <f>IF(K73&lt;0,"Juros 8% Mês "&amp;I52,"")</f>
        <v/>
      </c>
      <c r="O59" s="32">
        <f>K73</f>
        <v>0</v>
      </c>
    </row>
    <row r="60" spans="1:15" ht="3" customHeight="1" x14ac:dyDescent="0.25">
      <c r="A60" s="47"/>
      <c r="B60" s="61"/>
      <c r="C60" s="42"/>
      <c r="D60" s="61"/>
      <c r="E60" s="47"/>
      <c r="F60" s="61"/>
      <c r="G60" s="42"/>
      <c r="H60" s="61"/>
      <c r="I60" s="47"/>
      <c r="J60" s="61"/>
      <c r="K60" s="42"/>
      <c r="L60" s="61"/>
      <c r="M60" s="47"/>
      <c r="N60" s="61"/>
      <c r="O60" s="42"/>
    </row>
    <row r="61" spans="1:15" ht="15.75" customHeight="1" x14ac:dyDescent="0.25">
      <c r="A61" s="68" t="s">
        <v>109</v>
      </c>
      <c r="B61" s="69">
        <f>A54</f>
        <v>45292</v>
      </c>
      <c r="C61" s="52">
        <f>SUM(C54:C59)</f>
        <v>-5580.800000000002</v>
      </c>
      <c r="D61" s="45"/>
      <c r="E61" s="68" t="s">
        <v>109</v>
      </c>
      <c r="F61" s="69">
        <f>E54</f>
        <v>45323</v>
      </c>
      <c r="G61" s="52">
        <f>SUM(G54:G59)</f>
        <v>-4990.800000000002</v>
      </c>
      <c r="H61" s="45"/>
      <c r="I61" s="68" t="s">
        <v>109</v>
      </c>
      <c r="J61" s="69">
        <f>I54</f>
        <v>45352</v>
      </c>
      <c r="K61" s="52">
        <f>SUM(K54:K59)</f>
        <v>-4750.8800000000019</v>
      </c>
      <c r="L61" s="45"/>
      <c r="M61" s="68" t="s">
        <v>109</v>
      </c>
      <c r="N61" s="69">
        <f>M54</f>
        <v>45383</v>
      </c>
      <c r="O61" s="52">
        <f>SUM(O54:O59)</f>
        <v>-4810.9600000000019</v>
      </c>
    </row>
    <row r="62" spans="1:15" ht="3" customHeight="1" x14ac:dyDescent="0.25">
      <c r="A62" s="48"/>
      <c r="B62" s="61"/>
      <c r="C62" s="43"/>
      <c r="D62" s="61"/>
      <c r="E62" s="48"/>
      <c r="F62" s="61"/>
      <c r="G62" s="43"/>
      <c r="H62" s="61"/>
      <c r="I62" s="48"/>
      <c r="J62" s="61"/>
      <c r="K62" s="43"/>
      <c r="L62" s="61"/>
      <c r="M62" s="48"/>
      <c r="N62" s="61"/>
      <c r="O62" s="43"/>
    </row>
    <row r="63" spans="1:15" x14ac:dyDescent="0.25">
      <c r="A63" s="72">
        <v>45331</v>
      </c>
      <c r="B63" s="73" t="s">
        <v>31</v>
      </c>
      <c r="C63" s="55">
        <v>1413</v>
      </c>
      <c r="D63" s="61"/>
      <c r="E63" s="72">
        <v>45369</v>
      </c>
      <c r="F63" s="73" t="s">
        <v>144</v>
      </c>
      <c r="G63" s="55">
        <v>500</v>
      </c>
      <c r="H63" s="61"/>
      <c r="I63" s="72">
        <v>45387</v>
      </c>
      <c r="J63" s="73" t="s">
        <v>144</v>
      </c>
      <c r="K63" s="55">
        <v>1000</v>
      </c>
      <c r="L63" s="61"/>
      <c r="M63" s="72">
        <v>45412</v>
      </c>
      <c r="N63" s="73" t="s">
        <v>144</v>
      </c>
      <c r="O63" s="55">
        <v>1000</v>
      </c>
    </row>
    <row r="64" spans="1:15" x14ac:dyDescent="0.25">
      <c r="A64" s="72">
        <v>45334</v>
      </c>
      <c r="B64" s="73" t="s">
        <v>31</v>
      </c>
      <c r="C64" s="55">
        <v>500</v>
      </c>
      <c r="D64" s="61"/>
      <c r="E64" s="72">
        <v>45376</v>
      </c>
      <c r="F64" s="73" t="s">
        <v>144</v>
      </c>
      <c r="G64" s="55">
        <v>1800</v>
      </c>
      <c r="H64" s="61"/>
      <c r="I64" s="72">
        <v>45388</v>
      </c>
      <c r="J64" s="73" t="s">
        <v>144</v>
      </c>
      <c r="K64" s="55">
        <v>1000</v>
      </c>
      <c r="L64" s="61"/>
      <c r="M64" s="92">
        <v>45421</v>
      </c>
      <c r="N64" s="93" t="s">
        <v>145</v>
      </c>
      <c r="O64" s="94">
        <v>2000</v>
      </c>
    </row>
    <row r="65" spans="1:15" x14ac:dyDescent="0.25">
      <c r="A65" s="72">
        <v>45346</v>
      </c>
      <c r="B65" s="73" t="s">
        <v>31</v>
      </c>
      <c r="C65" s="55">
        <v>1500</v>
      </c>
      <c r="D65" s="61"/>
      <c r="E65" s="72"/>
      <c r="F65" s="73"/>
      <c r="G65" s="55"/>
      <c r="H65" s="61"/>
      <c r="I65" s="72"/>
      <c r="J65" s="73"/>
      <c r="K65" s="55"/>
      <c r="L65" s="61"/>
      <c r="M65" s="72"/>
      <c r="N65" s="73"/>
      <c r="O65" s="55"/>
    </row>
    <row r="66" spans="1:15" x14ac:dyDescent="0.25">
      <c r="A66" s="72">
        <v>45351</v>
      </c>
      <c r="B66" s="73" t="s">
        <v>31</v>
      </c>
      <c r="C66" s="55">
        <v>2000</v>
      </c>
      <c r="D66" s="61"/>
      <c r="E66" s="72"/>
      <c r="F66" s="73"/>
      <c r="G66" s="55"/>
      <c r="H66" s="61"/>
      <c r="I66" s="72"/>
      <c r="J66" s="73"/>
      <c r="K66" s="55"/>
      <c r="L66" s="61"/>
      <c r="M66" s="72"/>
      <c r="N66" s="73"/>
      <c r="O66" s="55"/>
    </row>
    <row r="67" spans="1:15" x14ac:dyDescent="0.25">
      <c r="A67" s="72"/>
      <c r="B67" s="73"/>
      <c r="C67" s="55"/>
      <c r="D67" s="61"/>
      <c r="E67" s="72"/>
      <c r="F67" s="73"/>
      <c r="G67" s="55"/>
      <c r="H67" s="61"/>
      <c r="I67" s="72"/>
      <c r="J67" s="73"/>
      <c r="K67" s="55"/>
      <c r="L67" s="61"/>
      <c r="M67" s="72"/>
      <c r="N67" s="73"/>
      <c r="O67" s="55"/>
    </row>
    <row r="68" spans="1:15" ht="3" customHeight="1" x14ac:dyDescent="0.25">
      <c r="A68" s="47"/>
      <c r="B68" s="61"/>
      <c r="C68" s="42"/>
      <c r="D68" s="61"/>
      <c r="E68" s="47"/>
      <c r="F68" s="61"/>
      <c r="G68" s="42"/>
      <c r="H68" s="61"/>
      <c r="I68" s="47"/>
      <c r="J68" s="61"/>
      <c r="K68" s="42"/>
      <c r="L68" s="61"/>
      <c r="M68" s="47"/>
      <c r="N68" s="61"/>
      <c r="O68" s="42"/>
    </row>
    <row r="69" spans="1:15" ht="15.75" customHeight="1" x14ac:dyDescent="0.25">
      <c r="A69" s="74" t="s">
        <v>3</v>
      </c>
      <c r="B69" s="73" t="s">
        <v>110</v>
      </c>
      <c r="C69" s="57">
        <f>SUM(C63:C67)</f>
        <v>5413</v>
      </c>
      <c r="D69" s="61"/>
      <c r="E69" s="74" t="s">
        <v>3</v>
      </c>
      <c r="F69" s="73" t="s">
        <v>110</v>
      </c>
      <c r="G69" s="57">
        <f>SUM(G63:G67)</f>
        <v>2300</v>
      </c>
      <c r="H69" s="61"/>
      <c r="I69" s="74" t="s">
        <v>3</v>
      </c>
      <c r="J69" s="73" t="s">
        <v>110</v>
      </c>
      <c r="K69" s="57">
        <f>SUM(K63:K67)</f>
        <v>2000</v>
      </c>
      <c r="L69" s="61"/>
      <c r="M69" s="74" t="s">
        <v>3</v>
      </c>
      <c r="N69" s="73" t="s">
        <v>110</v>
      </c>
      <c r="O69" s="57">
        <f>SUM(O63:O67)</f>
        <v>3000</v>
      </c>
    </row>
    <row r="70" spans="1:15" ht="3" customHeight="1" x14ac:dyDescent="0.25">
      <c r="A70" s="47"/>
      <c r="B70" s="61"/>
      <c r="C70" s="60"/>
      <c r="D70" s="61"/>
      <c r="E70" s="47"/>
      <c r="F70" s="61"/>
      <c r="G70" s="60"/>
      <c r="H70" s="61"/>
      <c r="I70" s="47"/>
      <c r="J70" s="61"/>
      <c r="K70" s="60"/>
      <c r="L70" s="61"/>
      <c r="M70" s="47"/>
      <c r="N70" s="61"/>
      <c r="O70" s="60"/>
    </row>
    <row r="71" spans="1:15" ht="15.75" customHeight="1" x14ac:dyDescent="0.25">
      <c r="A71" s="75" t="s">
        <v>111</v>
      </c>
      <c r="B71" s="76">
        <f>B61</f>
        <v>45292</v>
      </c>
      <c r="C71" s="25">
        <f>C61+C69</f>
        <v>-167.800000000002</v>
      </c>
      <c r="D71" s="45"/>
      <c r="E71" s="75" t="s">
        <v>111</v>
      </c>
      <c r="F71" s="76">
        <f>F61</f>
        <v>45323</v>
      </c>
      <c r="G71" s="25">
        <f>G61+G69</f>
        <v>-2690.800000000002</v>
      </c>
      <c r="H71" s="45"/>
      <c r="I71" s="75" t="s">
        <v>111</v>
      </c>
      <c r="J71" s="76">
        <f>J61</f>
        <v>45352</v>
      </c>
      <c r="K71" s="25">
        <f>K61+K69</f>
        <v>-2750.8800000000019</v>
      </c>
      <c r="L71" s="45"/>
      <c r="M71" s="75" t="s">
        <v>111</v>
      </c>
      <c r="N71" s="76">
        <f>N61</f>
        <v>45383</v>
      </c>
      <c r="O71" s="25">
        <f>O61+O69</f>
        <v>-1810.9600000000019</v>
      </c>
    </row>
    <row r="72" spans="1:15" ht="3" customHeight="1" x14ac:dyDescent="0.25">
      <c r="A72" s="47"/>
      <c r="B72" s="61"/>
      <c r="C72" s="60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</row>
    <row r="73" spans="1:15" x14ac:dyDescent="0.25">
      <c r="A73" s="77"/>
      <c r="B73" s="63"/>
      <c r="C73" s="64"/>
      <c r="D73" s="61"/>
      <c r="E73" s="77"/>
      <c r="F73" s="63"/>
      <c r="G73" s="64"/>
      <c r="H73" s="61"/>
      <c r="I73" s="77"/>
      <c r="J73" s="63"/>
      <c r="K73" s="64"/>
      <c r="L73" s="61"/>
      <c r="M73" s="77"/>
      <c r="N73" s="63"/>
      <c r="O73" s="64"/>
    </row>
    <row r="74" spans="1:15" ht="3" customHeight="1" x14ac:dyDescent="0.25"/>
    <row r="75" spans="1:15" ht="20.25" customHeight="1" x14ac:dyDescent="0.3">
      <c r="A75" s="112" t="str">
        <f>UPPER(TEXT(A77,"mmmm")&amp;" "&amp;TEXT(A77,"aaaa"))</f>
        <v>MAIO 2024</v>
      </c>
      <c r="B75" s="113"/>
      <c r="C75" s="113"/>
      <c r="D75" s="81"/>
      <c r="E75" s="112" t="str">
        <f>UPPER(TEXT(E77,"mmmm")&amp;" "&amp;TEXT(E77,"aaaa"))</f>
        <v>JUNHO 2024</v>
      </c>
      <c r="F75" s="113"/>
      <c r="G75" s="113"/>
      <c r="H75" s="81"/>
      <c r="I75" s="112" t="str">
        <f>UPPER(TEXT(I77,"mmmm")&amp;" "&amp;TEXT(I77,"aaaa"))</f>
        <v>JULHO 2024</v>
      </c>
      <c r="J75" s="113"/>
      <c r="K75" s="113"/>
      <c r="L75" s="81"/>
      <c r="M75" s="112" t="str">
        <f>UPPER(TEXT(M77,"mmmm")&amp;" "&amp;TEXT(M77,"aaaa"))</f>
        <v>AGOSTO 2024</v>
      </c>
      <c r="N75" s="113"/>
      <c r="O75" s="113"/>
    </row>
    <row r="76" spans="1:15" x14ac:dyDescent="0.25">
      <c r="A76" s="47" t="s">
        <v>97</v>
      </c>
      <c r="B76" s="48" t="s">
        <v>98</v>
      </c>
      <c r="C76" s="49" t="s">
        <v>99</v>
      </c>
      <c r="D76" s="81"/>
      <c r="E76" s="47" t="s">
        <v>97</v>
      </c>
      <c r="F76" s="48" t="s">
        <v>98</v>
      </c>
      <c r="G76" s="49" t="s">
        <v>99</v>
      </c>
      <c r="H76" s="81"/>
      <c r="I76" s="47" t="s">
        <v>97</v>
      </c>
      <c r="J76" s="48" t="s">
        <v>98</v>
      </c>
      <c r="K76" s="49" t="s">
        <v>99</v>
      </c>
      <c r="L76" s="81"/>
      <c r="M76" s="47" t="s">
        <v>97</v>
      </c>
      <c r="N76" s="48" t="s">
        <v>98</v>
      </c>
      <c r="O76" s="49" t="s">
        <v>99</v>
      </c>
    </row>
    <row r="77" spans="1:15" x14ac:dyDescent="0.25">
      <c r="A77" s="66">
        <v>45413</v>
      </c>
      <c r="B77" s="67" t="str">
        <f>"SALDO "&amp;UPPER(TEXT(A77-1,"mmmm"))</f>
        <v>SALDO ABRIL</v>
      </c>
      <c r="C77" s="32">
        <f>O71</f>
        <v>-1810.9600000000019</v>
      </c>
      <c r="D77" s="45"/>
      <c r="E77" s="66">
        <v>45444</v>
      </c>
      <c r="F77" s="67" t="str">
        <f>"SALDO "&amp;UPPER(TEXT(E77-1,"mmmm"))</f>
        <v>SALDO MAIO</v>
      </c>
      <c r="G77" s="32">
        <f>C94</f>
        <v>-1871.0400000000018</v>
      </c>
      <c r="H77" s="45"/>
      <c r="I77" s="66">
        <v>45474</v>
      </c>
      <c r="J77" s="67" t="str">
        <f>"SALDO "&amp;UPPER(TEXT(I77-1,"mmmm"))</f>
        <v>SALDO JUNHO</v>
      </c>
      <c r="K77" s="32">
        <f>G94</f>
        <v>-1931.1200000000017</v>
      </c>
      <c r="L77" s="45"/>
      <c r="M77" s="66">
        <v>45505</v>
      </c>
      <c r="N77" s="67" t="str">
        <f>"SALDO "&amp;UPPER(TEXT(M77-1,"mmmm"))</f>
        <v>SALDO JULHO</v>
      </c>
      <c r="O77" s="32">
        <f>K94</f>
        <v>-1486.9000000000015</v>
      </c>
    </row>
    <row r="78" spans="1:15" x14ac:dyDescent="0.25">
      <c r="A78" s="66">
        <f>A77+28</f>
        <v>45441</v>
      </c>
      <c r="B78" s="67" t="s">
        <v>53</v>
      </c>
      <c r="C78" s="58">
        <v>-2060.08</v>
      </c>
      <c r="D78" s="45"/>
      <c r="E78" s="66">
        <f>E77+28</f>
        <v>45472</v>
      </c>
      <c r="F78" s="67" t="s">
        <v>54</v>
      </c>
      <c r="G78" s="58">
        <v>-2060.08</v>
      </c>
      <c r="H78" s="45"/>
      <c r="I78" s="66">
        <f>I77+28</f>
        <v>45502</v>
      </c>
      <c r="J78" s="67" t="s">
        <v>55</v>
      </c>
      <c r="K78" s="58">
        <v>-2060.08</v>
      </c>
      <c r="L78" s="45"/>
      <c r="M78" s="66">
        <f>M77+28</f>
        <v>45533</v>
      </c>
      <c r="N78" s="67" t="s">
        <v>56</v>
      </c>
      <c r="O78" s="58">
        <v>-2060.08</v>
      </c>
    </row>
    <row r="79" spans="1:15" x14ac:dyDescent="0.25">
      <c r="A79" s="66"/>
      <c r="B79" s="67"/>
      <c r="C79" s="32"/>
      <c r="D79" s="45"/>
      <c r="E79" s="66"/>
      <c r="F79" s="67"/>
      <c r="G79" s="32"/>
      <c r="H79" s="45"/>
      <c r="I79" s="66"/>
      <c r="J79" s="67"/>
      <c r="K79" s="32"/>
      <c r="L79" s="45"/>
      <c r="M79" s="66"/>
      <c r="N79" s="67"/>
      <c r="O79" s="32"/>
    </row>
    <row r="80" spans="1:15" x14ac:dyDescent="0.25">
      <c r="A80" s="66"/>
      <c r="B80" s="67"/>
      <c r="C80" s="32"/>
      <c r="D80" s="45"/>
      <c r="E80" s="66"/>
      <c r="F80" s="67"/>
      <c r="G80" s="32"/>
      <c r="H80" s="45"/>
      <c r="I80" s="66"/>
      <c r="J80" s="67"/>
      <c r="K80" s="32"/>
      <c r="L80" s="45"/>
      <c r="M80" s="66"/>
      <c r="N80" s="67"/>
      <c r="O80" s="32"/>
    </row>
    <row r="81" spans="1:15" x14ac:dyDescent="0.25">
      <c r="A81" s="66"/>
      <c r="B81" s="67"/>
      <c r="C81" s="32"/>
      <c r="D81" s="45"/>
      <c r="E81" s="66"/>
      <c r="F81" s="67"/>
      <c r="G81" s="32"/>
      <c r="H81" s="45"/>
      <c r="I81" s="66"/>
      <c r="J81" s="67"/>
      <c r="K81" s="106">
        <v>4.3</v>
      </c>
      <c r="L81" s="45"/>
      <c r="M81" s="66"/>
      <c r="N81" s="67"/>
      <c r="O81" s="32"/>
    </row>
    <row r="82" spans="1:15" x14ac:dyDescent="0.25">
      <c r="A82" s="66" t="str">
        <f>IF(O73&lt;0,A77,"")</f>
        <v/>
      </c>
      <c r="B82" s="67" t="str">
        <f>IF(O73&lt;0,"Juros 8% Mês "&amp;M52,"")</f>
        <v/>
      </c>
      <c r="C82" s="32">
        <f>'05-08 de 23'!O120</f>
        <v>0</v>
      </c>
      <c r="D82" s="45"/>
      <c r="E82" s="66" t="str">
        <f>IF(C96&lt;0,E77,"")</f>
        <v/>
      </c>
      <c r="F82" s="67" t="str">
        <f>IF(C96&lt;0,"Juros 8% Mês "&amp;A75,"")</f>
        <v/>
      </c>
      <c r="G82" s="32">
        <f>C96</f>
        <v>0</v>
      </c>
      <c r="H82" s="45"/>
      <c r="I82" s="66" t="str">
        <f>IF(G96&lt;0,I77,"")</f>
        <v/>
      </c>
      <c r="J82" s="67" t="str">
        <f>IF(G96&lt;0,"Juros 8% Mês "&amp;E75,"")</f>
        <v/>
      </c>
      <c r="K82" s="32">
        <f>G96</f>
        <v>0</v>
      </c>
      <c r="L82" s="45"/>
      <c r="M82" s="66" t="str">
        <f>IF(K96&lt;0,M77,"")</f>
        <v/>
      </c>
      <c r="N82" s="67" t="str">
        <f>IF(K96&lt;0,"Juros 8% Mês "&amp;I75,"")</f>
        <v/>
      </c>
      <c r="O82" s="32">
        <f>K96</f>
        <v>0</v>
      </c>
    </row>
    <row r="83" spans="1:15" ht="3" customHeight="1" x14ac:dyDescent="0.25">
      <c r="A83" s="82"/>
      <c r="B83" s="45"/>
      <c r="C83" s="38"/>
      <c r="D83" s="45"/>
      <c r="E83" s="82"/>
      <c r="F83" s="45"/>
      <c r="G83" s="38"/>
      <c r="H83" s="45"/>
      <c r="I83" s="82"/>
      <c r="J83" s="45"/>
      <c r="K83" s="38"/>
      <c r="L83" s="45"/>
      <c r="M83" s="82"/>
      <c r="N83" s="45"/>
      <c r="O83" s="38"/>
    </row>
    <row r="84" spans="1:15" ht="15.75" customHeight="1" x14ac:dyDescent="0.25">
      <c r="A84" s="68" t="s">
        <v>109</v>
      </c>
      <c r="B84" s="69">
        <f>A77</f>
        <v>45413</v>
      </c>
      <c r="C84" s="52">
        <f>SUM(C77:C82)</f>
        <v>-3871.0400000000018</v>
      </c>
      <c r="D84" s="45"/>
      <c r="E84" s="68" t="s">
        <v>109</v>
      </c>
      <c r="F84" s="69">
        <f>E77</f>
        <v>45444</v>
      </c>
      <c r="G84" s="52">
        <f>SUM(G77:G82)</f>
        <v>-3931.1200000000017</v>
      </c>
      <c r="H84" s="45"/>
      <c r="I84" s="68" t="s">
        <v>109</v>
      </c>
      <c r="J84" s="69">
        <f>I77</f>
        <v>45474</v>
      </c>
      <c r="K84" s="52">
        <f>SUM(K77:K82)</f>
        <v>-3986.9000000000015</v>
      </c>
      <c r="L84" s="45"/>
      <c r="M84" s="68" t="s">
        <v>109</v>
      </c>
      <c r="N84" s="69">
        <f>M77</f>
        <v>45505</v>
      </c>
      <c r="O84" s="52">
        <f>SUM(O77:O82)</f>
        <v>-3546.9800000000014</v>
      </c>
    </row>
    <row r="85" spans="1:15" ht="3" customHeight="1" x14ac:dyDescent="0.25">
      <c r="A85" s="83"/>
      <c r="B85" s="45"/>
      <c r="C85" s="40"/>
      <c r="D85" s="45"/>
      <c r="E85" s="83"/>
      <c r="F85" s="45"/>
      <c r="G85" s="40"/>
      <c r="H85" s="45"/>
      <c r="I85" s="83"/>
      <c r="J85" s="45"/>
      <c r="K85" s="40"/>
      <c r="L85" s="45"/>
      <c r="M85" s="83"/>
      <c r="N85" s="45"/>
      <c r="O85" s="40"/>
    </row>
    <row r="86" spans="1:15" x14ac:dyDescent="0.25">
      <c r="A86" s="92">
        <v>45450</v>
      </c>
      <c r="B86" s="93" t="s">
        <v>145</v>
      </c>
      <c r="C86" s="94">
        <v>2000</v>
      </c>
      <c r="D86" s="61"/>
      <c r="E86" s="92">
        <v>45477</v>
      </c>
      <c r="F86" s="93" t="s">
        <v>144</v>
      </c>
      <c r="G86" s="94">
        <v>2000</v>
      </c>
      <c r="H86" s="61"/>
      <c r="I86" s="72">
        <v>45516</v>
      </c>
      <c r="J86" s="73" t="s">
        <v>144</v>
      </c>
      <c r="K86" s="55">
        <v>500</v>
      </c>
      <c r="L86" s="61"/>
      <c r="M86" s="72">
        <v>45534</v>
      </c>
      <c r="N86" s="73" t="s">
        <v>144</v>
      </c>
      <c r="O86" s="55">
        <v>1500</v>
      </c>
    </row>
    <row r="87" spans="1:15" x14ac:dyDescent="0.25">
      <c r="A87" s="72"/>
      <c r="B87" s="73"/>
      <c r="C87" s="55"/>
      <c r="D87" s="61"/>
      <c r="E87" s="72"/>
      <c r="F87" s="73"/>
      <c r="G87" s="55"/>
      <c r="H87" s="61"/>
      <c r="I87" s="72">
        <v>45518</v>
      </c>
      <c r="J87" s="73" t="s">
        <v>144</v>
      </c>
      <c r="K87" s="55">
        <v>2000</v>
      </c>
      <c r="L87" s="61"/>
      <c r="M87" s="72">
        <v>45551</v>
      </c>
      <c r="N87" s="73" t="s">
        <v>144</v>
      </c>
      <c r="O87" s="55">
        <v>500</v>
      </c>
    </row>
    <row r="88" spans="1:15" x14ac:dyDescent="0.25">
      <c r="A88" s="72"/>
      <c r="B88" s="73"/>
      <c r="C88" s="55"/>
      <c r="D88" s="61"/>
      <c r="E88" s="72"/>
      <c r="F88" s="73"/>
      <c r="G88" s="55"/>
      <c r="H88" s="61"/>
      <c r="I88" s="72"/>
      <c r="J88" s="73"/>
      <c r="K88" s="55"/>
      <c r="L88" s="61"/>
      <c r="M88" s="72"/>
      <c r="N88" s="73"/>
      <c r="O88" s="55"/>
    </row>
    <row r="89" spans="1:15" x14ac:dyDescent="0.25">
      <c r="A89" s="72"/>
      <c r="B89" s="73"/>
      <c r="C89" s="55"/>
      <c r="D89" s="61"/>
      <c r="E89" s="72"/>
      <c r="F89" s="73"/>
      <c r="G89" s="55"/>
      <c r="H89" s="61"/>
      <c r="I89" s="72"/>
      <c r="J89" s="73"/>
      <c r="K89" s="55"/>
      <c r="L89" s="61"/>
      <c r="M89" s="72"/>
      <c r="N89" s="73"/>
      <c r="O89" s="55"/>
    </row>
    <row r="90" spans="1:15" x14ac:dyDescent="0.25">
      <c r="A90" s="72"/>
      <c r="B90" s="73"/>
      <c r="C90" s="55"/>
      <c r="D90" s="61"/>
      <c r="E90" s="72"/>
      <c r="F90" s="73"/>
      <c r="G90" s="55"/>
      <c r="H90" s="61"/>
      <c r="I90" s="72"/>
      <c r="J90" s="73"/>
      <c r="K90" s="55"/>
      <c r="L90" s="61"/>
      <c r="M90" s="72"/>
      <c r="N90" s="73"/>
      <c r="O90" s="55"/>
    </row>
    <row r="91" spans="1:15" ht="3" customHeight="1" x14ac:dyDescent="0.25">
      <c r="A91" s="82"/>
      <c r="B91" s="45"/>
      <c r="C91" s="38"/>
      <c r="D91" s="45"/>
      <c r="E91" s="82"/>
      <c r="F91" s="45"/>
      <c r="G91" s="38"/>
      <c r="H91" s="61"/>
      <c r="I91" s="82"/>
      <c r="J91" s="45"/>
      <c r="K91" s="38"/>
      <c r="L91" s="61"/>
      <c r="M91" s="82"/>
      <c r="N91" s="45"/>
      <c r="O91" s="38"/>
    </row>
    <row r="92" spans="1:15" ht="15.75" customHeight="1" x14ac:dyDescent="0.25">
      <c r="A92" s="74" t="s">
        <v>3</v>
      </c>
      <c r="B92" s="73" t="s">
        <v>110</v>
      </c>
      <c r="C92" s="57">
        <f>SUM(C86:C90)</f>
        <v>2000</v>
      </c>
      <c r="D92" s="61"/>
      <c r="E92" s="74" t="s">
        <v>3</v>
      </c>
      <c r="F92" s="73" t="s">
        <v>110</v>
      </c>
      <c r="G92" s="57">
        <f>SUM(G86:G90)</f>
        <v>2000</v>
      </c>
      <c r="H92" s="61"/>
      <c r="I92" s="74" t="s">
        <v>3</v>
      </c>
      <c r="J92" s="73" t="s">
        <v>110</v>
      </c>
      <c r="K92" s="57">
        <f>SUM(K86:K90)</f>
        <v>2500</v>
      </c>
      <c r="L92" s="61"/>
      <c r="M92" s="74" t="s">
        <v>3</v>
      </c>
      <c r="N92" s="73" t="s">
        <v>110</v>
      </c>
      <c r="O92" s="57">
        <f>SUM(O86:O90)</f>
        <v>2000</v>
      </c>
    </row>
    <row r="93" spans="1:15" ht="3" customHeight="1" x14ac:dyDescent="0.25">
      <c r="A93" s="82"/>
      <c r="B93" s="45"/>
      <c r="C93" s="44"/>
      <c r="D93" s="45"/>
      <c r="E93" s="82"/>
      <c r="F93" s="45"/>
      <c r="G93" s="44"/>
      <c r="H93" s="45"/>
      <c r="I93" s="82"/>
      <c r="J93" s="45"/>
      <c r="K93" s="44"/>
      <c r="L93" s="45"/>
      <c r="M93" s="82"/>
      <c r="N93" s="45"/>
      <c r="O93" s="44"/>
    </row>
    <row r="94" spans="1:15" ht="15.75" customHeight="1" x14ac:dyDescent="0.25">
      <c r="A94" s="75" t="s">
        <v>111</v>
      </c>
      <c r="B94" s="76">
        <f>B84</f>
        <v>45413</v>
      </c>
      <c r="C94" s="25">
        <f>C84+C92</f>
        <v>-1871.0400000000018</v>
      </c>
      <c r="D94" s="45"/>
      <c r="E94" s="75" t="s">
        <v>111</v>
      </c>
      <c r="F94" s="76">
        <f>F84</f>
        <v>45444</v>
      </c>
      <c r="G94" s="25">
        <f>G84+G92</f>
        <v>-1931.1200000000017</v>
      </c>
      <c r="H94" s="45"/>
      <c r="I94" s="75" t="s">
        <v>111</v>
      </c>
      <c r="J94" s="76">
        <f>J84</f>
        <v>45474</v>
      </c>
      <c r="K94" s="25">
        <f>K84+K92</f>
        <v>-1486.9000000000015</v>
      </c>
      <c r="L94" s="45"/>
      <c r="M94" s="75" t="s">
        <v>111</v>
      </c>
      <c r="N94" s="76">
        <f>N84</f>
        <v>45505</v>
      </c>
      <c r="O94" s="25">
        <f>O84+O92</f>
        <v>-1546.9800000000014</v>
      </c>
    </row>
    <row r="95" spans="1:15" ht="3" customHeight="1" x14ac:dyDescent="0.25">
      <c r="A95" s="82"/>
      <c r="B95" s="45"/>
      <c r="C95" s="44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</row>
    <row r="96" spans="1:15" x14ac:dyDescent="0.25">
      <c r="A96" s="77"/>
      <c r="B96" s="63"/>
      <c r="C96" s="64"/>
      <c r="D96" s="61"/>
      <c r="E96" s="77"/>
      <c r="F96" s="63"/>
      <c r="G96" s="64"/>
      <c r="H96" s="61"/>
      <c r="I96" s="77"/>
      <c r="J96" s="63"/>
      <c r="K96" s="64"/>
      <c r="L96" s="61"/>
      <c r="M96" s="77"/>
      <c r="N96" s="63"/>
      <c r="O96" s="64"/>
    </row>
    <row r="97" spans="1:15" ht="3" customHeight="1" x14ac:dyDescent="0.25"/>
    <row r="98" spans="1:15" ht="20.25" customHeight="1" x14ac:dyDescent="0.3">
      <c r="A98" s="112" t="str">
        <f>UPPER(TEXT(A100,"mmmm")&amp;" "&amp;TEXT(A100,"aaaa"))</f>
        <v>SETEMBRO 2024</v>
      </c>
      <c r="B98" s="113"/>
      <c r="C98" s="113"/>
      <c r="D98" s="81"/>
      <c r="E98" s="112" t="str">
        <f>UPPER(TEXT(E100,"mmmm")&amp;" "&amp;TEXT(E100,"aaaa"))</f>
        <v>OUTUBRO 2024</v>
      </c>
      <c r="F98" s="113"/>
      <c r="G98" s="113"/>
      <c r="H98" s="81"/>
      <c r="I98" s="112" t="str">
        <f>UPPER(TEXT(I100,"mmmm")&amp;" "&amp;TEXT(I100,"aaaa"))</f>
        <v>NOVEMBRO 2024</v>
      </c>
      <c r="J98" s="113"/>
      <c r="K98" s="113"/>
      <c r="L98" s="81"/>
      <c r="M98" s="112" t="str">
        <f>UPPER(TEXT(M100,"mmmm")&amp;" "&amp;TEXT(M100,"aaaa"))</f>
        <v>DEZEMBRO 2024</v>
      </c>
      <c r="N98" s="113"/>
      <c r="O98" s="113"/>
    </row>
    <row r="99" spans="1:15" x14ac:dyDescent="0.25">
      <c r="A99" s="47" t="s">
        <v>97</v>
      </c>
      <c r="B99" s="48" t="s">
        <v>98</v>
      </c>
      <c r="C99" s="49" t="s">
        <v>99</v>
      </c>
      <c r="D99" s="81"/>
      <c r="E99" s="47" t="s">
        <v>97</v>
      </c>
      <c r="F99" s="48" t="s">
        <v>98</v>
      </c>
      <c r="G99" s="49" t="s">
        <v>99</v>
      </c>
      <c r="H99" s="81"/>
      <c r="I99" s="47" t="s">
        <v>97</v>
      </c>
      <c r="J99" s="48" t="s">
        <v>98</v>
      </c>
      <c r="K99" s="49" t="s">
        <v>99</v>
      </c>
      <c r="L99" s="81"/>
      <c r="M99" s="47" t="s">
        <v>97</v>
      </c>
      <c r="N99" s="48" t="s">
        <v>98</v>
      </c>
      <c r="O99" s="49" t="s">
        <v>99</v>
      </c>
    </row>
    <row r="100" spans="1:15" x14ac:dyDescent="0.25">
      <c r="A100" s="66">
        <v>45536</v>
      </c>
      <c r="B100" s="67" t="str">
        <f>"SALDO "&amp;UPPER(TEXT(A100-1,"mmmm"))</f>
        <v>SALDO AGOSTO</v>
      </c>
      <c r="C100" s="32">
        <f>O94</f>
        <v>-1546.9800000000014</v>
      </c>
      <c r="D100" s="45"/>
      <c r="E100" s="66">
        <v>45566</v>
      </c>
      <c r="F100" s="67" t="str">
        <f>"SALDO "&amp;UPPER(TEXT(E100-1,"mmmm"))</f>
        <v>SALDO SETEMBRO</v>
      </c>
      <c r="G100" s="32">
        <f>C117</f>
        <v>-1000.0600000000013</v>
      </c>
      <c r="H100" s="45"/>
      <c r="I100" s="66">
        <v>45597</v>
      </c>
      <c r="J100" s="67" t="str">
        <f>"SALDO "&amp;UPPER(TEXT(I100-1,"mmmm"))</f>
        <v>SALDO OUTUBRO</v>
      </c>
      <c r="K100" s="32">
        <f>G117</f>
        <v>-990.14000000000124</v>
      </c>
      <c r="L100" s="45"/>
      <c r="M100" s="66">
        <v>45627</v>
      </c>
      <c r="N100" s="67" t="str">
        <f>"SALDO "&amp;UPPER(TEXT(M100-1,"mmmm"))</f>
        <v>SALDO NOVEMBRO</v>
      </c>
      <c r="O100" s="32">
        <f>K117</f>
        <v>-1050.2200000000012</v>
      </c>
    </row>
    <row r="101" spans="1:15" x14ac:dyDescent="0.25">
      <c r="A101" s="66">
        <f>A100+28</f>
        <v>45564</v>
      </c>
      <c r="B101" s="67" t="s">
        <v>57</v>
      </c>
      <c r="C101" s="58">
        <v>-2060.08</v>
      </c>
      <c r="D101" s="45"/>
      <c r="E101" s="66">
        <f>E100+28</f>
        <v>45594</v>
      </c>
      <c r="F101" s="67" t="s">
        <v>58</v>
      </c>
      <c r="G101" s="58">
        <v>-2060.08</v>
      </c>
      <c r="H101" s="45"/>
      <c r="I101" s="66">
        <f>I100+28</f>
        <v>45625</v>
      </c>
      <c r="J101" s="67" t="s">
        <v>59</v>
      </c>
      <c r="K101" s="58">
        <v>-2060.08</v>
      </c>
      <c r="L101" s="45"/>
      <c r="M101" s="66">
        <f>M100+28</f>
        <v>45655</v>
      </c>
      <c r="N101" s="67" t="s">
        <v>60</v>
      </c>
      <c r="O101" s="58">
        <v>-2060.08</v>
      </c>
    </row>
    <row r="102" spans="1:15" x14ac:dyDescent="0.25">
      <c r="A102" s="66"/>
      <c r="B102" s="67"/>
      <c r="C102" s="32"/>
      <c r="D102" s="45"/>
      <c r="E102" s="66"/>
      <c r="F102" s="67"/>
      <c r="G102" s="32"/>
      <c r="H102" s="45"/>
      <c r="I102" s="66"/>
      <c r="J102" s="67"/>
      <c r="K102" s="32"/>
      <c r="L102" s="45"/>
      <c r="M102" s="66"/>
      <c r="N102" s="67"/>
      <c r="O102" s="32"/>
    </row>
    <row r="103" spans="1:15" x14ac:dyDescent="0.25">
      <c r="A103" s="66"/>
      <c r="B103" s="67"/>
      <c r="C103" s="32"/>
      <c r="D103" s="45"/>
      <c r="E103" s="66"/>
      <c r="F103" s="67"/>
      <c r="G103" s="32"/>
      <c r="H103" s="45"/>
      <c r="I103" s="66"/>
      <c r="J103" s="67"/>
      <c r="K103" s="32"/>
      <c r="L103" s="45"/>
      <c r="M103" s="66"/>
      <c r="N103" s="67"/>
      <c r="O103" s="32"/>
    </row>
    <row r="104" spans="1:15" x14ac:dyDescent="0.25">
      <c r="A104" s="66"/>
      <c r="B104" s="67"/>
      <c r="C104" s="32"/>
      <c r="D104" s="45"/>
      <c r="E104" s="66"/>
      <c r="F104" s="67"/>
      <c r="G104" s="32"/>
      <c r="H104" s="45"/>
      <c r="I104" s="66"/>
      <c r="J104" s="67"/>
      <c r="K104" s="32"/>
      <c r="L104" s="45"/>
      <c r="M104" s="66"/>
      <c r="N104" s="67"/>
      <c r="O104" s="32"/>
    </row>
    <row r="105" spans="1:15" x14ac:dyDescent="0.25">
      <c r="A105" s="66"/>
      <c r="B105" s="67"/>
      <c r="C105" s="32"/>
      <c r="D105" s="45"/>
      <c r="E105" s="66"/>
      <c r="F105" s="67"/>
      <c r="G105" s="32"/>
      <c r="H105" s="45"/>
      <c r="I105" s="66"/>
      <c r="J105" s="67"/>
      <c r="K105" s="32"/>
      <c r="L105" s="45"/>
      <c r="M105" s="66"/>
      <c r="N105" s="67"/>
      <c r="O105" s="32"/>
    </row>
    <row r="106" spans="1:15" ht="3" customHeight="1" x14ac:dyDescent="0.25">
      <c r="A106" s="82"/>
      <c r="B106" s="45"/>
      <c r="C106" s="38"/>
      <c r="D106" s="45"/>
      <c r="E106" s="82"/>
      <c r="F106" s="45"/>
      <c r="G106" s="38"/>
      <c r="H106" s="45"/>
      <c r="I106" s="82"/>
      <c r="J106" s="45"/>
      <c r="K106" s="38"/>
      <c r="L106" s="45"/>
      <c r="M106" s="82"/>
      <c r="N106" s="45"/>
      <c r="O106" s="38"/>
    </row>
    <row r="107" spans="1:15" ht="15.75" customHeight="1" x14ac:dyDescent="0.25">
      <c r="A107" s="68" t="s">
        <v>109</v>
      </c>
      <c r="B107" s="69">
        <f>A100</f>
        <v>45536</v>
      </c>
      <c r="C107" s="52">
        <f>SUM(C100:C105)</f>
        <v>-3607.0600000000013</v>
      </c>
      <c r="D107" s="45"/>
      <c r="E107" s="68" t="s">
        <v>109</v>
      </c>
      <c r="F107" s="69">
        <f>E100</f>
        <v>45566</v>
      </c>
      <c r="G107" s="52">
        <f>SUM(G100:G105)</f>
        <v>-3060.1400000000012</v>
      </c>
      <c r="H107" s="45"/>
      <c r="I107" s="68" t="s">
        <v>109</v>
      </c>
      <c r="J107" s="69">
        <f>I100</f>
        <v>45597</v>
      </c>
      <c r="K107" s="52">
        <f>SUM(K100:K105)</f>
        <v>-3050.2200000000012</v>
      </c>
      <c r="L107" s="45"/>
      <c r="M107" s="68" t="s">
        <v>109</v>
      </c>
      <c r="N107" s="69">
        <f>M100</f>
        <v>45627</v>
      </c>
      <c r="O107" s="52">
        <f>SUM(O100:O105)</f>
        <v>-3110.3000000000011</v>
      </c>
    </row>
    <row r="108" spans="1:15" ht="3" customHeight="1" x14ac:dyDescent="0.25">
      <c r="A108" s="83"/>
      <c r="B108" s="45"/>
      <c r="C108" s="40"/>
      <c r="D108" s="45"/>
      <c r="E108" s="83"/>
      <c r="F108" s="45"/>
      <c r="G108" s="40"/>
      <c r="H108" s="45"/>
      <c r="I108" s="83"/>
      <c r="J108" s="45"/>
      <c r="K108" s="40"/>
      <c r="L108" s="45"/>
      <c r="M108" s="83"/>
      <c r="N108" s="45"/>
      <c r="O108" s="40"/>
    </row>
    <row r="109" spans="1:15" x14ac:dyDescent="0.25">
      <c r="A109" s="72">
        <v>45571</v>
      </c>
      <c r="B109" s="73" t="s">
        <v>144</v>
      </c>
      <c r="C109" s="55">
        <v>2000</v>
      </c>
      <c r="D109" s="61"/>
      <c r="E109" s="72">
        <v>45595</v>
      </c>
      <c r="F109" s="73" t="s">
        <v>150</v>
      </c>
      <c r="G109" s="55">
        <v>1900</v>
      </c>
      <c r="H109" s="61"/>
      <c r="I109" s="72">
        <v>45628</v>
      </c>
      <c r="J109" s="73" t="s">
        <v>144</v>
      </c>
      <c r="K109" s="55">
        <v>2000</v>
      </c>
      <c r="L109" s="61"/>
      <c r="M109" s="72">
        <v>45656</v>
      </c>
      <c r="N109" s="73" t="s">
        <v>144</v>
      </c>
      <c r="O109" s="55">
        <v>2060</v>
      </c>
    </row>
    <row r="110" spans="1:15" x14ac:dyDescent="0.25">
      <c r="A110" s="72">
        <v>45572</v>
      </c>
      <c r="B110" s="73" t="s">
        <v>144</v>
      </c>
      <c r="C110" s="55">
        <v>607</v>
      </c>
      <c r="D110" s="61"/>
      <c r="E110" s="72">
        <v>45595</v>
      </c>
      <c r="F110" s="73" t="s">
        <v>151</v>
      </c>
      <c r="G110" s="55">
        <v>170</v>
      </c>
      <c r="H110" s="61"/>
      <c r="I110" s="72"/>
      <c r="J110" s="73"/>
      <c r="K110" s="55"/>
      <c r="L110" s="61"/>
      <c r="M110" s="72"/>
      <c r="N110" s="73" t="s">
        <v>152</v>
      </c>
      <c r="O110" s="55"/>
    </row>
    <row r="111" spans="1:15" x14ac:dyDescent="0.25">
      <c r="A111" s="72"/>
      <c r="B111" s="73"/>
      <c r="C111" s="55"/>
      <c r="D111" s="61"/>
      <c r="E111" s="72"/>
      <c r="F111" s="73"/>
      <c r="G111" s="55"/>
      <c r="H111" s="61"/>
      <c r="I111" s="72"/>
      <c r="J111" s="73"/>
      <c r="K111" s="55"/>
      <c r="L111" s="61"/>
      <c r="M111" s="72"/>
      <c r="N111" s="73"/>
      <c r="O111" s="55"/>
    </row>
    <row r="112" spans="1:15" x14ac:dyDescent="0.25">
      <c r="A112" s="72"/>
      <c r="B112" s="73"/>
      <c r="C112" s="55"/>
      <c r="D112" s="61"/>
      <c r="E112" s="72"/>
      <c r="F112" s="73"/>
      <c r="G112" s="55"/>
      <c r="H112" s="61"/>
      <c r="I112" s="72"/>
      <c r="J112" s="73"/>
      <c r="K112" s="55"/>
      <c r="L112" s="61"/>
      <c r="M112" s="72"/>
      <c r="N112" s="73"/>
      <c r="O112" s="55"/>
    </row>
    <row r="113" spans="1:15" x14ac:dyDescent="0.25">
      <c r="A113" s="72"/>
      <c r="B113" s="73"/>
      <c r="C113" s="55"/>
      <c r="D113" s="61"/>
      <c r="E113" s="72"/>
      <c r="F113" s="73"/>
      <c r="G113" s="55"/>
      <c r="H113" s="61"/>
      <c r="I113" s="72"/>
      <c r="J113" s="73"/>
      <c r="K113" s="55"/>
      <c r="L113" s="61"/>
      <c r="M113" s="72"/>
      <c r="N113" s="73"/>
      <c r="O113" s="55"/>
    </row>
    <row r="114" spans="1:15" ht="3" customHeight="1" x14ac:dyDescent="0.25">
      <c r="A114" s="82"/>
      <c r="B114" s="45"/>
      <c r="C114" s="38"/>
      <c r="D114" s="45"/>
      <c r="E114" s="82"/>
      <c r="F114" s="45"/>
      <c r="G114" s="38"/>
      <c r="H114" s="61"/>
      <c r="I114" s="82"/>
      <c r="J114" s="45"/>
      <c r="K114" s="38"/>
      <c r="L114" s="61"/>
      <c r="M114" s="82"/>
      <c r="N114" s="45"/>
      <c r="O114" s="38"/>
    </row>
    <row r="115" spans="1:15" ht="15.75" customHeight="1" x14ac:dyDescent="0.25">
      <c r="A115" s="74" t="s">
        <v>3</v>
      </c>
      <c r="B115" s="73" t="s">
        <v>110</v>
      </c>
      <c r="C115" s="57">
        <f>SUM(C109:C113)</f>
        <v>2607</v>
      </c>
      <c r="D115" s="61"/>
      <c r="E115" s="74" t="s">
        <v>3</v>
      </c>
      <c r="F115" s="73" t="s">
        <v>110</v>
      </c>
      <c r="G115" s="57">
        <f>SUM(G109:G113)</f>
        <v>2070</v>
      </c>
      <c r="H115" s="61"/>
      <c r="I115" s="74" t="s">
        <v>3</v>
      </c>
      <c r="J115" s="73" t="s">
        <v>110</v>
      </c>
      <c r="K115" s="57">
        <f>SUM(K109:K113)</f>
        <v>2000</v>
      </c>
      <c r="L115" s="61"/>
      <c r="M115" s="74" t="s">
        <v>3</v>
      </c>
      <c r="N115" s="73" t="s">
        <v>110</v>
      </c>
      <c r="O115" s="57">
        <f>SUM(O109:O113)</f>
        <v>2060</v>
      </c>
    </row>
    <row r="116" spans="1:15" ht="3" customHeight="1" x14ac:dyDescent="0.25">
      <c r="A116" s="82"/>
      <c r="B116" s="45"/>
      <c r="C116" s="44"/>
      <c r="D116" s="45"/>
      <c r="E116" s="82"/>
      <c r="F116" s="45"/>
      <c r="G116" s="44"/>
      <c r="H116" s="45"/>
      <c r="I116" s="82"/>
      <c r="J116" s="45"/>
      <c r="K116" s="44"/>
      <c r="L116" s="45"/>
      <c r="M116" s="82"/>
      <c r="N116" s="45"/>
      <c r="O116" s="44"/>
    </row>
    <row r="117" spans="1:15" ht="15.75" customHeight="1" x14ac:dyDescent="0.25">
      <c r="A117" s="75" t="s">
        <v>111</v>
      </c>
      <c r="B117" s="76">
        <f>B107</f>
        <v>45536</v>
      </c>
      <c r="C117" s="25">
        <f>C107+C115</f>
        <v>-1000.0600000000013</v>
      </c>
      <c r="D117" s="45"/>
      <c r="E117" s="75" t="s">
        <v>111</v>
      </c>
      <c r="F117" s="76">
        <f>F107</f>
        <v>45566</v>
      </c>
      <c r="G117" s="25">
        <f>G107+G115</f>
        <v>-990.14000000000124</v>
      </c>
      <c r="H117" s="45"/>
      <c r="I117" s="75" t="s">
        <v>111</v>
      </c>
      <c r="J117" s="76">
        <f>J107</f>
        <v>45597</v>
      </c>
      <c r="K117" s="25">
        <f>K107+K115</f>
        <v>-1050.2200000000012</v>
      </c>
      <c r="L117" s="45"/>
      <c r="M117" s="75" t="s">
        <v>111</v>
      </c>
      <c r="N117" s="76">
        <f>N107</f>
        <v>45627</v>
      </c>
      <c r="O117" s="25">
        <f>O107+O115</f>
        <v>-1050.3000000000011</v>
      </c>
    </row>
    <row r="118" spans="1:15" ht="3" customHeight="1" x14ac:dyDescent="0.25">
      <c r="A118" s="82"/>
      <c r="B118" s="45"/>
      <c r="C118" s="44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</row>
    <row r="119" spans="1:15" x14ac:dyDescent="0.25">
      <c r="A119" s="77"/>
      <c r="B119" s="63"/>
      <c r="C119" s="64"/>
      <c r="D119" s="61"/>
      <c r="E119" s="77"/>
      <c r="F119" s="63"/>
      <c r="G119" s="64"/>
      <c r="H119" s="61"/>
      <c r="I119" s="77"/>
      <c r="J119" s="63"/>
      <c r="K119" s="64"/>
      <c r="L119" s="61"/>
      <c r="M119" s="77"/>
      <c r="N119" s="63"/>
      <c r="O119" s="64"/>
    </row>
    <row r="121" spans="1:15" ht="20.25" x14ac:dyDescent="0.3">
      <c r="A121" s="112" t="str">
        <f>UPPER(TEXT(A123,"mmmm")&amp;" "&amp;TEXT(A123,"aaaa"))</f>
        <v>JANEIRO 2025</v>
      </c>
      <c r="B121" s="113"/>
      <c r="C121" s="113"/>
      <c r="D121" s="81"/>
      <c r="E121" s="112" t="str">
        <f>UPPER(TEXT(E123,"mmmm")&amp;" "&amp;TEXT(E123,"aaaa"))</f>
        <v>FEVEREIRO 2025</v>
      </c>
      <c r="F121" s="113"/>
      <c r="G121" s="113"/>
      <c r="H121" s="81"/>
      <c r="I121" s="112" t="str">
        <f>UPPER(TEXT(I123,"mmmm")&amp;" "&amp;TEXT(I123,"aaaa"))</f>
        <v>MARÇO 2025</v>
      </c>
      <c r="J121" s="113"/>
      <c r="K121" s="113"/>
      <c r="L121" s="81"/>
      <c r="M121" s="112" t="str">
        <f>UPPER(TEXT(M123,"mmmm")&amp;" "&amp;TEXT(M123,"aaaa"))</f>
        <v>ABRIL 2025</v>
      </c>
      <c r="N121" s="113"/>
      <c r="O121" s="113"/>
    </row>
    <row r="122" spans="1:15" x14ac:dyDescent="0.25">
      <c r="A122" s="47" t="s">
        <v>97</v>
      </c>
      <c r="B122" s="48" t="s">
        <v>98</v>
      </c>
      <c r="C122" s="49" t="s">
        <v>99</v>
      </c>
      <c r="D122" s="81"/>
      <c r="E122" s="47" t="s">
        <v>97</v>
      </c>
      <c r="F122" s="48" t="s">
        <v>98</v>
      </c>
      <c r="G122" s="49" t="s">
        <v>99</v>
      </c>
      <c r="H122" s="81"/>
      <c r="I122" s="47" t="s">
        <v>97</v>
      </c>
      <c r="J122" s="48" t="s">
        <v>98</v>
      </c>
      <c r="K122" s="49" t="s">
        <v>99</v>
      </c>
      <c r="L122" s="81"/>
      <c r="M122" s="47" t="s">
        <v>97</v>
      </c>
      <c r="N122" s="48" t="s">
        <v>98</v>
      </c>
      <c r="O122" s="49" t="s">
        <v>99</v>
      </c>
    </row>
    <row r="123" spans="1:15" x14ac:dyDescent="0.25">
      <c r="A123" s="66">
        <v>45658</v>
      </c>
      <c r="B123" s="67" t="str">
        <f>"SALDO "&amp;UPPER(TEXT(A123-1,"mmmm"))</f>
        <v>SALDO DEZEMBRO</v>
      </c>
      <c r="C123" s="32">
        <f>O117</f>
        <v>-1050.3000000000011</v>
      </c>
      <c r="D123" s="45"/>
      <c r="E123" s="66">
        <v>45689</v>
      </c>
      <c r="F123" s="67" t="str">
        <f>"SALDO "&amp;UPPER(TEXT(E123-1,"mmmm"))</f>
        <v>SALDO JANEIRO</v>
      </c>
      <c r="G123" s="32">
        <f>C140</f>
        <v>-1050.380000000001</v>
      </c>
      <c r="H123" s="45"/>
      <c r="I123" s="66">
        <v>45717</v>
      </c>
      <c r="J123" s="67" t="str">
        <f>"SALDO "&amp;UPPER(TEXT(I123-1,"mmmm"))</f>
        <v>SALDO FEVEREIRO</v>
      </c>
      <c r="K123" s="32">
        <f>G140</f>
        <v>-1050.4600000000009</v>
      </c>
      <c r="L123" s="45"/>
      <c r="M123" s="66">
        <v>45748</v>
      </c>
      <c r="N123" s="67" t="str">
        <f>"SALDO "&amp;UPPER(TEXT(M123-1,"mmmm"))</f>
        <v>SALDO MARÇO</v>
      </c>
      <c r="O123" s="32">
        <f>K140</f>
        <v>-1050.5400000000009</v>
      </c>
    </row>
    <row r="124" spans="1:15" x14ac:dyDescent="0.25">
      <c r="A124" s="66">
        <f>A123+28</f>
        <v>45686</v>
      </c>
      <c r="B124" s="67" t="s">
        <v>61</v>
      </c>
      <c r="C124" s="58">
        <v>-2060.08</v>
      </c>
      <c r="D124" s="45"/>
      <c r="E124" s="66">
        <f>E123+28</f>
        <v>45717</v>
      </c>
      <c r="F124" s="67" t="s">
        <v>62</v>
      </c>
      <c r="G124" s="58">
        <v>-2060.08</v>
      </c>
      <c r="H124" s="45"/>
      <c r="I124" s="66">
        <f>I123+28</f>
        <v>45745</v>
      </c>
      <c r="J124" s="67" t="s">
        <v>63</v>
      </c>
      <c r="K124" s="58">
        <v>-2060.08</v>
      </c>
      <c r="L124" s="45"/>
      <c r="M124" s="66">
        <f>M123+28</f>
        <v>45776</v>
      </c>
      <c r="N124" s="67" t="s">
        <v>64</v>
      </c>
      <c r="O124" s="58">
        <v>-2060.08</v>
      </c>
    </row>
    <row r="125" spans="1:15" x14ac:dyDescent="0.25">
      <c r="A125" s="66"/>
      <c r="B125" s="67"/>
      <c r="C125" s="32"/>
      <c r="D125" s="45"/>
      <c r="E125" s="66"/>
      <c r="F125" s="67"/>
      <c r="G125" s="32"/>
      <c r="H125" s="45"/>
      <c r="I125" s="66"/>
      <c r="J125" s="67"/>
      <c r="K125" s="32"/>
      <c r="L125" s="45"/>
      <c r="M125" s="66"/>
      <c r="N125" s="67"/>
      <c r="O125" s="32"/>
    </row>
    <row r="126" spans="1:15" x14ac:dyDescent="0.25">
      <c r="A126" s="66"/>
      <c r="B126" s="67"/>
      <c r="C126" s="32"/>
      <c r="D126" s="45"/>
      <c r="E126" s="66"/>
      <c r="F126" s="67"/>
      <c r="G126" s="32"/>
      <c r="H126" s="45"/>
      <c r="I126" s="66"/>
      <c r="J126" s="67"/>
      <c r="K126" s="32"/>
      <c r="L126" s="45"/>
      <c r="M126" s="66"/>
      <c r="N126" s="67"/>
      <c r="O126" s="32"/>
    </row>
    <row r="127" spans="1:15" x14ac:dyDescent="0.25">
      <c r="A127" s="66"/>
      <c r="B127" s="67"/>
      <c r="C127" s="32"/>
      <c r="D127" s="45"/>
      <c r="E127" s="66"/>
      <c r="F127" s="67"/>
      <c r="G127" s="32"/>
      <c r="H127" s="45"/>
      <c r="I127" s="66"/>
      <c r="J127" s="67"/>
      <c r="K127" s="32"/>
      <c r="L127" s="45"/>
      <c r="M127" s="66"/>
      <c r="N127" s="67"/>
      <c r="O127" s="32"/>
    </row>
    <row r="128" spans="1:15" x14ac:dyDescent="0.25">
      <c r="A128" s="66"/>
      <c r="B128" s="67"/>
      <c r="C128" s="32"/>
      <c r="D128" s="45"/>
      <c r="E128" s="66"/>
      <c r="F128" s="67"/>
      <c r="G128" s="32"/>
      <c r="H128" s="45"/>
      <c r="I128" s="66"/>
      <c r="J128" s="67"/>
      <c r="K128" s="32"/>
      <c r="L128" s="45"/>
      <c r="M128" s="66"/>
      <c r="N128" s="67"/>
      <c r="O128" s="32"/>
    </row>
    <row r="129" spans="1:15" x14ac:dyDescent="0.25">
      <c r="A129" s="82"/>
      <c r="B129" s="45"/>
      <c r="C129" s="38"/>
      <c r="D129" s="45"/>
      <c r="E129" s="82"/>
      <c r="F129" s="45"/>
      <c r="G129" s="38"/>
      <c r="H129" s="45"/>
      <c r="I129" s="82"/>
      <c r="J129" s="45"/>
      <c r="K129" s="38"/>
      <c r="L129" s="45"/>
      <c r="M129" s="82"/>
      <c r="N129" s="45"/>
      <c r="O129" s="38"/>
    </row>
    <row r="130" spans="1:15" ht="15.75" x14ac:dyDescent="0.25">
      <c r="A130" s="68" t="s">
        <v>109</v>
      </c>
      <c r="B130" s="69">
        <f>A123</f>
        <v>45658</v>
      </c>
      <c r="C130" s="52">
        <f>SUM(C123:C128)</f>
        <v>-3110.380000000001</v>
      </c>
      <c r="D130" s="45"/>
      <c r="E130" s="68" t="s">
        <v>109</v>
      </c>
      <c r="F130" s="69">
        <f>E123</f>
        <v>45689</v>
      </c>
      <c r="G130" s="52">
        <f>SUM(G123:G128)</f>
        <v>-3110.4600000000009</v>
      </c>
      <c r="H130" s="45"/>
      <c r="I130" s="68" t="s">
        <v>109</v>
      </c>
      <c r="J130" s="69">
        <f>I123</f>
        <v>45717</v>
      </c>
      <c r="K130" s="52">
        <f>SUM(K123:K128)</f>
        <v>-3110.5400000000009</v>
      </c>
      <c r="L130" s="45"/>
      <c r="M130" s="68" t="s">
        <v>109</v>
      </c>
      <c r="N130" s="69">
        <f>M123</f>
        <v>45748</v>
      </c>
      <c r="O130" s="52">
        <f>SUM(O123:O128)</f>
        <v>-3110.6200000000008</v>
      </c>
    </row>
    <row r="131" spans="1:15" ht="15.75" x14ac:dyDescent="0.25">
      <c r="A131" s="83"/>
      <c r="B131" s="45"/>
      <c r="C131" s="40"/>
      <c r="D131" s="45"/>
      <c r="E131" s="83"/>
      <c r="F131" s="45"/>
      <c r="G131" s="40"/>
      <c r="H131" s="45"/>
      <c r="I131" s="83"/>
      <c r="J131" s="45"/>
      <c r="K131" s="40"/>
      <c r="L131" s="45"/>
      <c r="M131" s="83"/>
      <c r="N131" s="45"/>
      <c r="O131" s="40"/>
    </row>
    <row r="132" spans="1:15" x14ac:dyDescent="0.25">
      <c r="A132" s="72">
        <v>45686</v>
      </c>
      <c r="B132" s="73" t="s">
        <v>144</v>
      </c>
      <c r="C132" s="55">
        <v>2060</v>
      </c>
      <c r="D132" s="61"/>
      <c r="E132" s="72">
        <v>45718</v>
      </c>
      <c r="F132" s="73" t="s">
        <v>144</v>
      </c>
      <c r="G132" s="55">
        <v>2060</v>
      </c>
      <c r="H132" s="61"/>
      <c r="I132" s="72">
        <v>45745</v>
      </c>
      <c r="J132" s="73" t="s">
        <v>144</v>
      </c>
      <c r="K132" s="55">
        <v>2060</v>
      </c>
      <c r="L132" s="61"/>
      <c r="M132" s="72">
        <v>45779</v>
      </c>
      <c r="N132" s="73" t="s">
        <v>144</v>
      </c>
      <c r="O132" s="55">
        <v>2060</v>
      </c>
    </row>
    <row r="133" spans="1:15" x14ac:dyDescent="0.25">
      <c r="A133" s="72"/>
      <c r="B133" s="73"/>
      <c r="C133" s="55"/>
      <c r="D133" s="61"/>
      <c r="E133" s="72"/>
      <c r="F133" s="73"/>
      <c r="G133" s="55"/>
      <c r="H133" s="61"/>
      <c r="I133" s="72"/>
      <c r="J133" s="73"/>
      <c r="K133" s="55"/>
      <c r="L133" s="61"/>
      <c r="M133" s="72">
        <v>45777</v>
      </c>
      <c r="N133" s="73" t="s">
        <v>153</v>
      </c>
      <c r="O133" s="55">
        <v>200</v>
      </c>
    </row>
    <row r="134" spans="1:15" x14ac:dyDescent="0.25">
      <c r="A134" s="72"/>
      <c r="B134" s="73"/>
      <c r="C134" s="55"/>
      <c r="D134" s="61"/>
      <c r="E134" s="72"/>
      <c r="F134" s="73"/>
      <c r="G134" s="55"/>
      <c r="H134" s="61"/>
      <c r="I134" s="72"/>
      <c r="J134" s="73"/>
      <c r="K134" s="55"/>
      <c r="L134" s="61"/>
      <c r="M134" s="72"/>
      <c r="N134" s="73"/>
      <c r="O134" s="55"/>
    </row>
    <row r="135" spans="1:15" x14ac:dyDescent="0.25">
      <c r="A135" s="72"/>
      <c r="B135" s="73"/>
      <c r="C135" s="55"/>
      <c r="D135" s="61"/>
      <c r="E135" s="72"/>
      <c r="F135" s="73"/>
      <c r="G135" s="55"/>
      <c r="H135" s="61"/>
      <c r="I135" s="72"/>
      <c r="J135" s="73"/>
      <c r="K135" s="55"/>
      <c r="L135" s="61"/>
      <c r="M135" s="72"/>
      <c r="N135" s="73"/>
      <c r="O135" s="55"/>
    </row>
    <row r="136" spans="1:15" x14ac:dyDescent="0.25">
      <c r="A136" s="72"/>
      <c r="B136" s="73"/>
      <c r="C136" s="55"/>
      <c r="D136" s="61"/>
      <c r="E136" s="72"/>
      <c r="F136" s="73"/>
      <c r="G136" s="55"/>
      <c r="H136" s="61"/>
      <c r="I136" s="72"/>
      <c r="J136" s="73"/>
      <c r="K136" s="55"/>
      <c r="L136" s="61"/>
      <c r="M136" s="72"/>
      <c r="N136" s="73"/>
      <c r="O136" s="55"/>
    </row>
    <row r="137" spans="1:15" x14ac:dyDescent="0.25">
      <c r="A137" s="82"/>
      <c r="B137" s="45"/>
      <c r="C137" s="38"/>
      <c r="D137" s="45"/>
      <c r="E137" s="82"/>
      <c r="F137" s="45"/>
      <c r="G137" s="38"/>
      <c r="H137" s="61"/>
      <c r="I137" s="82"/>
      <c r="J137" s="45"/>
      <c r="K137" s="38"/>
      <c r="L137" s="61"/>
      <c r="M137" s="82"/>
      <c r="N137" s="45"/>
      <c r="O137" s="38"/>
    </row>
    <row r="138" spans="1:15" ht="15.75" x14ac:dyDescent="0.25">
      <c r="A138" s="74" t="s">
        <v>3</v>
      </c>
      <c r="B138" s="73" t="s">
        <v>110</v>
      </c>
      <c r="C138" s="57">
        <f>SUM(C132:C136)</f>
        <v>2060</v>
      </c>
      <c r="D138" s="61"/>
      <c r="E138" s="74" t="s">
        <v>3</v>
      </c>
      <c r="F138" s="73" t="s">
        <v>110</v>
      </c>
      <c r="G138" s="57">
        <f>SUM(G132:G136)</f>
        <v>2060</v>
      </c>
      <c r="H138" s="61"/>
      <c r="I138" s="74" t="s">
        <v>3</v>
      </c>
      <c r="J138" s="73" t="s">
        <v>110</v>
      </c>
      <c r="K138" s="57">
        <f>SUM(K132:K136)</f>
        <v>2060</v>
      </c>
      <c r="L138" s="61"/>
      <c r="M138" s="74" t="s">
        <v>3</v>
      </c>
      <c r="N138" s="73" t="s">
        <v>110</v>
      </c>
      <c r="O138" s="57">
        <f>SUM(O132:O136)</f>
        <v>2260</v>
      </c>
    </row>
    <row r="139" spans="1:15" x14ac:dyDescent="0.25">
      <c r="A139" s="82"/>
      <c r="B139" s="45"/>
      <c r="C139" s="44"/>
      <c r="D139" s="45"/>
      <c r="E139" s="82"/>
      <c r="F139" s="45"/>
      <c r="G139" s="44"/>
      <c r="H139" s="45"/>
      <c r="I139" s="82"/>
      <c r="J139" s="45"/>
      <c r="K139" s="44"/>
      <c r="L139" s="45"/>
      <c r="M139" s="82"/>
      <c r="N139" s="45"/>
      <c r="O139" s="44"/>
    </row>
    <row r="140" spans="1:15" ht="15.75" x14ac:dyDescent="0.25">
      <c r="A140" s="75" t="s">
        <v>111</v>
      </c>
      <c r="B140" s="76">
        <f>B130</f>
        <v>45658</v>
      </c>
      <c r="C140" s="25">
        <f>C130+C138</f>
        <v>-1050.380000000001</v>
      </c>
      <c r="D140" s="45"/>
      <c r="E140" s="75" t="s">
        <v>111</v>
      </c>
      <c r="F140" s="76">
        <f>F130</f>
        <v>45689</v>
      </c>
      <c r="G140" s="25">
        <f>G130+G138</f>
        <v>-1050.4600000000009</v>
      </c>
      <c r="H140" s="45"/>
      <c r="I140" s="75" t="s">
        <v>111</v>
      </c>
      <c r="J140" s="76">
        <f>J130</f>
        <v>45717</v>
      </c>
      <c r="K140" s="25">
        <f>K130+K138</f>
        <v>-1050.5400000000009</v>
      </c>
      <c r="L140" s="45"/>
      <c r="M140" s="75" t="s">
        <v>111</v>
      </c>
      <c r="N140" s="76">
        <f>N130</f>
        <v>45748</v>
      </c>
      <c r="O140" s="25">
        <f>O130+O138</f>
        <v>-850.6200000000008</v>
      </c>
    </row>
    <row r="141" spans="1:15" x14ac:dyDescent="0.25">
      <c r="A141" s="82"/>
      <c r="B141" s="45"/>
      <c r="C141" s="44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</row>
    <row r="142" spans="1:15" x14ac:dyDescent="0.25">
      <c r="A142" s="77"/>
      <c r="B142" s="63"/>
      <c r="C142" s="64"/>
      <c r="D142" s="61"/>
      <c r="E142" s="77"/>
      <c r="F142" s="63"/>
      <c r="G142" s="64"/>
      <c r="H142" s="61"/>
      <c r="I142" s="77"/>
      <c r="J142" s="63"/>
      <c r="K142" s="64"/>
      <c r="L142" s="61"/>
      <c r="M142" s="77"/>
      <c r="N142" s="63"/>
      <c r="O142" s="64"/>
    </row>
    <row r="144" spans="1:15" ht="20.25" x14ac:dyDescent="0.3">
      <c r="A144" s="112" t="str">
        <f>UPPER(TEXT(A146,"mmmm")&amp;" "&amp;TEXT(A146,"aaaa"))</f>
        <v>MAIO 2025</v>
      </c>
      <c r="B144" s="113"/>
      <c r="C144" s="113"/>
      <c r="D144" s="81"/>
      <c r="E144" s="112" t="str">
        <f>UPPER(TEXT(E146,"mmmm")&amp;" "&amp;TEXT(E146,"aaaa"))</f>
        <v>JUNHO 2025</v>
      </c>
      <c r="F144" s="113"/>
      <c r="G144" s="113"/>
      <c r="H144" s="81"/>
      <c r="I144" s="112" t="str">
        <f>UPPER(TEXT(I146,"mmmm")&amp;" "&amp;TEXT(I146,"aaaa"))</f>
        <v>JULHO 2025</v>
      </c>
      <c r="J144" s="113"/>
      <c r="K144" s="113"/>
      <c r="L144" s="81"/>
      <c r="M144" s="112" t="str">
        <f>UPPER(TEXT(M146,"mmmm")&amp;" "&amp;TEXT(M146,"aaaa"))</f>
        <v>AGOSTO 2025</v>
      </c>
      <c r="N144" s="113"/>
      <c r="O144" s="113"/>
    </row>
    <row r="145" spans="1:15" x14ac:dyDescent="0.25">
      <c r="A145" s="47" t="s">
        <v>97</v>
      </c>
      <c r="B145" s="48" t="s">
        <v>98</v>
      </c>
      <c r="C145" s="49" t="s">
        <v>99</v>
      </c>
      <c r="D145" s="81"/>
      <c r="E145" s="47" t="s">
        <v>97</v>
      </c>
      <c r="F145" s="48" t="s">
        <v>98</v>
      </c>
      <c r="G145" s="49" t="s">
        <v>99</v>
      </c>
      <c r="H145" s="81"/>
      <c r="I145" s="47" t="s">
        <v>97</v>
      </c>
      <c r="J145" s="48" t="s">
        <v>98</v>
      </c>
      <c r="K145" s="49" t="s">
        <v>99</v>
      </c>
      <c r="L145" s="81"/>
      <c r="M145" s="47" t="s">
        <v>97</v>
      </c>
      <c r="N145" s="48" t="s">
        <v>98</v>
      </c>
      <c r="O145" s="49" t="s">
        <v>99</v>
      </c>
    </row>
    <row r="146" spans="1:15" x14ac:dyDescent="0.25">
      <c r="A146" s="66">
        <v>45778</v>
      </c>
      <c r="B146" s="67" t="str">
        <f>"SALDO "&amp;UPPER(TEXT(A146-1,"mmmm"))</f>
        <v>SALDO ABRIL</v>
      </c>
      <c r="C146" s="32">
        <f>O140</f>
        <v>-850.6200000000008</v>
      </c>
      <c r="D146" s="45"/>
      <c r="E146" s="66">
        <v>45809</v>
      </c>
      <c r="F146" s="67" t="str">
        <f>"SALDO "&amp;UPPER(TEXT(E146-1,"mmmm"))</f>
        <v>SALDO MAIO</v>
      </c>
      <c r="G146" s="32">
        <f>C163</f>
        <v>-850.70000000000073</v>
      </c>
      <c r="H146" s="45"/>
      <c r="I146" s="66">
        <v>45839</v>
      </c>
      <c r="J146" s="67" t="str">
        <f>"SALDO "&amp;UPPER(TEXT(I146-1,"mmmm"))</f>
        <v>SALDO JUNHO</v>
      </c>
      <c r="K146" s="32">
        <f>G163</f>
        <v>-1910.7800000000007</v>
      </c>
      <c r="L146" s="45"/>
      <c r="M146" s="66">
        <v>45870</v>
      </c>
      <c r="N146" s="67" t="str">
        <f>"SALDO "&amp;UPPER(TEXT(M146-1,"mmmm"))</f>
        <v>SALDO JULHO</v>
      </c>
      <c r="O146" s="32">
        <f>K163</f>
        <v>-3970.8600000000006</v>
      </c>
    </row>
    <row r="147" spans="1:15" x14ac:dyDescent="0.25">
      <c r="A147" s="66">
        <f>A146+28</f>
        <v>45806</v>
      </c>
      <c r="B147" s="67" t="s">
        <v>65</v>
      </c>
      <c r="C147" s="58">
        <v>-2060.08</v>
      </c>
      <c r="D147" s="45"/>
      <c r="E147" s="66">
        <f>E146+28</f>
        <v>45837</v>
      </c>
      <c r="F147" s="67" t="s">
        <v>66</v>
      </c>
      <c r="G147" s="58">
        <v>-2060.08</v>
      </c>
      <c r="H147" s="45"/>
      <c r="I147" s="66">
        <f>I146+28</f>
        <v>45867</v>
      </c>
      <c r="J147" s="67" t="s">
        <v>67</v>
      </c>
      <c r="K147" s="58">
        <v>-2060.08</v>
      </c>
      <c r="L147" s="45"/>
      <c r="M147" s="66">
        <f>M146+28</f>
        <v>45898</v>
      </c>
      <c r="N147" s="67" t="s">
        <v>68</v>
      </c>
      <c r="O147" s="58">
        <v>-2060.08</v>
      </c>
    </row>
    <row r="148" spans="1:15" x14ac:dyDescent="0.25">
      <c r="A148" s="66"/>
      <c r="B148" s="67"/>
      <c r="C148" s="32"/>
      <c r="D148" s="45"/>
      <c r="E148" s="66"/>
      <c r="F148" s="67"/>
      <c r="G148" s="32"/>
      <c r="H148" s="45"/>
      <c r="I148" s="66"/>
      <c r="J148" s="67"/>
      <c r="K148" s="32"/>
      <c r="L148" s="45"/>
      <c r="M148" s="66"/>
      <c r="N148" s="67"/>
      <c r="O148" s="32"/>
    </row>
    <row r="149" spans="1:15" x14ac:dyDescent="0.25">
      <c r="A149" s="66"/>
      <c r="B149" s="67"/>
      <c r="C149" s="32"/>
      <c r="D149" s="45"/>
      <c r="E149" s="66"/>
      <c r="F149" s="67"/>
      <c r="G149" s="32"/>
      <c r="H149" s="45"/>
      <c r="I149" s="66"/>
      <c r="J149" s="67"/>
      <c r="K149" s="32"/>
      <c r="L149" s="45"/>
      <c r="M149" s="66"/>
      <c r="N149" s="67"/>
      <c r="O149" s="32"/>
    </row>
    <row r="150" spans="1:15" x14ac:dyDescent="0.25">
      <c r="A150" s="66"/>
      <c r="B150" s="67"/>
      <c r="C150" s="32"/>
      <c r="D150" s="45"/>
      <c r="E150" s="66"/>
      <c r="F150" s="67"/>
      <c r="G150" s="32"/>
      <c r="H150" s="45"/>
      <c r="I150" s="66"/>
      <c r="J150" s="67"/>
      <c r="K150" s="32"/>
      <c r="L150" s="45"/>
      <c r="M150" s="66"/>
      <c r="N150" s="67"/>
      <c r="O150" s="32"/>
    </row>
    <row r="151" spans="1:15" x14ac:dyDescent="0.25">
      <c r="A151" s="66"/>
      <c r="B151" s="67"/>
      <c r="C151" s="32"/>
      <c r="D151" s="45"/>
      <c r="E151" s="66"/>
      <c r="F151" s="67"/>
      <c r="G151" s="32"/>
      <c r="H151" s="45"/>
      <c r="I151" s="66"/>
      <c r="J151" s="67"/>
      <c r="K151" s="32"/>
      <c r="L151" s="45"/>
      <c r="M151" s="66"/>
      <c r="N151" s="67"/>
      <c r="O151" s="32"/>
    </row>
    <row r="152" spans="1:15" x14ac:dyDescent="0.25">
      <c r="A152" s="82"/>
      <c r="B152" s="45"/>
      <c r="C152" s="38"/>
      <c r="D152" s="45"/>
      <c r="E152" s="82"/>
      <c r="F152" s="45"/>
      <c r="G152" s="38"/>
      <c r="H152" s="45"/>
      <c r="I152" s="82"/>
      <c r="J152" s="45"/>
      <c r="K152" s="38"/>
      <c r="L152" s="45"/>
      <c r="M152" s="82"/>
      <c r="N152" s="45"/>
      <c r="O152" s="38"/>
    </row>
    <row r="153" spans="1:15" ht="15.75" x14ac:dyDescent="0.25">
      <c r="A153" s="68" t="s">
        <v>109</v>
      </c>
      <c r="B153" s="69">
        <f>A146</f>
        <v>45778</v>
      </c>
      <c r="C153" s="52">
        <f>SUM(C146:C151)</f>
        <v>-2910.7000000000007</v>
      </c>
      <c r="D153" s="45"/>
      <c r="E153" s="68" t="s">
        <v>109</v>
      </c>
      <c r="F153" s="69">
        <f>E146</f>
        <v>45809</v>
      </c>
      <c r="G153" s="52">
        <f>SUM(G146:G151)</f>
        <v>-2910.7800000000007</v>
      </c>
      <c r="H153" s="45"/>
      <c r="I153" s="68" t="s">
        <v>109</v>
      </c>
      <c r="J153" s="69">
        <f>I146</f>
        <v>45839</v>
      </c>
      <c r="K153" s="52">
        <f>SUM(K146:K151)</f>
        <v>-3970.8600000000006</v>
      </c>
      <c r="L153" s="45"/>
      <c r="M153" s="68" t="s">
        <v>109</v>
      </c>
      <c r="N153" s="69">
        <f>M146</f>
        <v>45870</v>
      </c>
      <c r="O153" s="52">
        <f>SUM(O146:O151)</f>
        <v>-6030.9400000000005</v>
      </c>
    </row>
    <row r="154" spans="1:15" ht="15.75" x14ac:dyDescent="0.25">
      <c r="A154" s="83"/>
      <c r="B154" s="45"/>
      <c r="C154" s="40"/>
      <c r="D154" s="45"/>
      <c r="E154" s="83"/>
      <c r="F154" s="45"/>
      <c r="G154" s="40"/>
      <c r="H154" s="45"/>
      <c r="I154" s="83"/>
      <c r="J154" s="45"/>
      <c r="K154" s="40"/>
      <c r="L154" s="45"/>
      <c r="M154" s="83"/>
      <c r="N154" s="45"/>
      <c r="O154" s="40"/>
    </row>
    <row r="155" spans="1:15" x14ac:dyDescent="0.25">
      <c r="A155" s="72">
        <v>45806</v>
      </c>
      <c r="B155" s="73" t="s">
        <v>144</v>
      </c>
      <c r="C155" s="55">
        <v>1000</v>
      </c>
      <c r="D155" s="61"/>
      <c r="E155" s="72">
        <v>46203</v>
      </c>
      <c r="F155" s="73" t="s">
        <v>144</v>
      </c>
      <c r="G155" s="55">
        <v>1000</v>
      </c>
      <c r="H155" s="61"/>
      <c r="I155" s="72"/>
      <c r="J155" s="73"/>
      <c r="K155" s="55"/>
      <c r="L155" s="61"/>
      <c r="M155" s="72"/>
      <c r="N155" s="73"/>
      <c r="O155" s="55"/>
    </row>
    <row r="156" spans="1:15" x14ac:dyDescent="0.25">
      <c r="A156" s="72">
        <v>45808</v>
      </c>
      <c r="B156" s="73" t="s">
        <v>144</v>
      </c>
      <c r="C156" s="55">
        <v>1060</v>
      </c>
      <c r="D156" s="61"/>
      <c r="E156" s="72"/>
      <c r="F156" s="73"/>
      <c r="G156" s="55"/>
      <c r="H156" s="61"/>
      <c r="I156" s="72"/>
      <c r="J156" s="73"/>
      <c r="K156" s="55"/>
      <c r="L156" s="61"/>
      <c r="M156" s="72"/>
      <c r="N156" s="73"/>
      <c r="O156" s="55"/>
    </row>
    <row r="157" spans="1:15" x14ac:dyDescent="0.25">
      <c r="A157" s="72"/>
      <c r="B157" s="73"/>
      <c r="C157" s="55"/>
      <c r="D157" s="61"/>
      <c r="E157" s="72"/>
      <c r="F157" s="73"/>
      <c r="G157" s="55"/>
      <c r="H157" s="61"/>
      <c r="I157" s="72"/>
      <c r="J157" s="73"/>
      <c r="K157" s="55"/>
      <c r="L157" s="61"/>
      <c r="M157" s="72"/>
      <c r="N157" s="73"/>
      <c r="O157" s="55"/>
    </row>
    <row r="158" spans="1:15" x14ac:dyDescent="0.25">
      <c r="A158" s="72"/>
      <c r="B158" s="73"/>
      <c r="C158" s="55"/>
      <c r="D158" s="61"/>
      <c r="E158" s="72"/>
      <c r="F158" s="73"/>
      <c r="G158" s="55"/>
      <c r="H158" s="61"/>
      <c r="I158" s="72"/>
      <c r="J158" s="73"/>
      <c r="K158" s="55"/>
      <c r="L158" s="61"/>
      <c r="M158" s="72"/>
      <c r="N158" s="73"/>
      <c r="O158" s="55"/>
    </row>
    <row r="159" spans="1:15" x14ac:dyDescent="0.25">
      <c r="A159" s="72"/>
      <c r="B159" s="73"/>
      <c r="C159" s="55"/>
      <c r="D159" s="61"/>
      <c r="E159" s="72"/>
      <c r="F159" s="73"/>
      <c r="G159" s="55"/>
      <c r="H159" s="61"/>
      <c r="I159" s="72"/>
      <c r="J159" s="73"/>
      <c r="K159" s="55"/>
      <c r="L159" s="61"/>
      <c r="M159" s="72"/>
      <c r="N159" s="73"/>
      <c r="O159" s="55"/>
    </row>
    <row r="160" spans="1:15" x14ac:dyDescent="0.25">
      <c r="A160" s="82"/>
      <c r="B160" s="45"/>
      <c r="C160" s="38"/>
      <c r="D160" s="45"/>
      <c r="E160" s="82"/>
      <c r="F160" s="45"/>
      <c r="G160" s="38"/>
      <c r="H160" s="61"/>
      <c r="I160" s="82"/>
      <c r="J160" s="45"/>
      <c r="K160" s="38"/>
      <c r="L160" s="61"/>
      <c r="M160" s="82"/>
      <c r="N160" s="45"/>
      <c r="O160" s="38"/>
    </row>
    <row r="161" spans="1:15" ht="15.75" x14ac:dyDescent="0.25">
      <c r="A161" s="74" t="s">
        <v>3</v>
      </c>
      <c r="B161" s="73" t="s">
        <v>110</v>
      </c>
      <c r="C161" s="57">
        <f>SUM(C155:C159)</f>
        <v>2060</v>
      </c>
      <c r="D161" s="61"/>
      <c r="E161" s="74" t="s">
        <v>3</v>
      </c>
      <c r="F161" s="73" t="s">
        <v>110</v>
      </c>
      <c r="G161" s="57">
        <f>SUM(G155:G159)</f>
        <v>1000</v>
      </c>
      <c r="H161" s="61"/>
      <c r="I161" s="74" t="s">
        <v>3</v>
      </c>
      <c r="J161" s="73" t="s">
        <v>110</v>
      </c>
      <c r="K161" s="57">
        <f>SUM(K155:K159)</f>
        <v>0</v>
      </c>
      <c r="L161" s="61"/>
      <c r="M161" s="74" t="s">
        <v>3</v>
      </c>
      <c r="N161" s="73" t="s">
        <v>110</v>
      </c>
      <c r="O161" s="57">
        <f>SUM(O155:O159)</f>
        <v>0</v>
      </c>
    </row>
    <row r="162" spans="1:15" x14ac:dyDescent="0.25">
      <c r="A162" s="82"/>
      <c r="B162" s="45"/>
      <c r="C162" s="44"/>
      <c r="D162" s="45"/>
      <c r="E162" s="82"/>
      <c r="F162" s="45"/>
      <c r="G162" s="44"/>
      <c r="H162" s="45"/>
      <c r="I162" s="82"/>
      <c r="J162" s="45"/>
      <c r="K162" s="44"/>
      <c r="L162" s="45"/>
      <c r="M162" s="82"/>
      <c r="N162" s="45"/>
      <c r="O162" s="44"/>
    </row>
    <row r="163" spans="1:15" ht="15.75" x14ac:dyDescent="0.25">
      <c r="A163" s="75" t="s">
        <v>111</v>
      </c>
      <c r="B163" s="76">
        <f>B153</f>
        <v>45778</v>
      </c>
      <c r="C163" s="25">
        <f>C153+C161</f>
        <v>-850.70000000000073</v>
      </c>
      <c r="D163" s="45"/>
      <c r="E163" s="75" t="s">
        <v>111</v>
      </c>
      <c r="F163" s="76">
        <f>F153</f>
        <v>45809</v>
      </c>
      <c r="G163" s="25">
        <f>G153+G161</f>
        <v>-1910.7800000000007</v>
      </c>
      <c r="H163" s="45"/>
      <c r="I163" s="75" t="s">
        <v>111</v>
      </c>
      <c r="J163" s="76">
        <f>J153</f>
        <v>45839</v>
      </c>
      <c r="K163" s="25">
        <f>K153+K161</f>
        <v>-3970.8600000000006</v>
      </c>
      <c r="L163" s="45"/>
      <c r="M163" s="75" t="s">
        <v>111</v>
      </c>
      <c r="N163" s="76">
        <f>N153</f>
        <v>45870</v>
      </c>
      <c r="O163" s="25">
        <f>O153+O161</f>
        <v>-6030.9400000000005</v>
      </c>
    </row>
    <row r="164" spans="1:15" x14ac:dyDescent="0.25">
      <c r="A164" s="82"/>
      <c r="B164" s="45"/>
      <c r="C164" s="44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</row>
    <row r="165" spans="1:15" x14ac:dyDescent="0.25">
      <c r="A165" s="77"/>
      <c r="B165" s="63"/>
      <c r="C165" s="64"/>
      <c r="D165" s="61"/>
      <c r="E165" s="77"/>
      <c r="F165" s="63"/>
      <c r="G165" s="64"/>
      <c r="H165" s="61"/>
      <c r="I165" s="77"/>
      <c r="J165" s="63"/>
      <c r="K165" s="64"/>
      <c r="L165" s="61"/>
      <c r="M165" s="77"/>
      <c r="N165" s="63"/>
      <c r="O165" s="64"/>
    </row>
  </sheetData>
  <mergeCells count="28">
    <mergeCell ref="A144:C144"/>
    <mergeCell ref="E144:G144"/>
    <mergeCell ref="I144:K144"/>
    <mergeCell ref="M144:O144"/>
    <mergeCell ref="A121:C121"/>
    <mergeCell ref="E121:G121"/>
    <mergeCell ref="I121:K121"/>
    <mergeCell ref="M121:O121"/>
    <mergeCell ref="A2:C2"/>
    <mergeCell ref="E2:G2"/>
    <mergeCell ref="I2:K2"/>
    <mergeCell ref="M2:O2"/>
    <mergeCell ref="A29:C29"/>
    <mergeCell ref="E29:G29"/>
    <mergeCell ref="I29:K29"/>
    <mergeCell ref="M29:O29"/>
    <mergeCell ref="A98:C98"/>
    <mergeCell ref="E98:G98"/>
    <mergeCell ref="I98:K98"/>
    <mergeCell ref="M98:O98"/>
    <mergeCell ref="A52:C52"/>
    <mergeCell ref="E52:G52"/>
    <mergeCell ref="I52:K52"/>
    <mergeCell ref="M52:O52"/>
    <mergeCell ref="A75:C75"/>
    <mergeCell ref="E75:G75"/>
    <mergeCell ref="I75:K75"/>
    <mergeCell ref="M75:O75"/>
  </mergeCells>
  <conditionalFormatting sqref="C6:C13">
    <cfRule type="expression" dxfId="221" priority="224">
      <formula>$D6&lt;&gt;""</formula>
    </cfRule>
  </conditionalFormatting>
  <conditionalFormatting sqref="A5:C5">
    <cfRule type="expression" dxfId="220" priority="226">
      <formula>$D5&lt;&gt;""</formula>
    </cfRule>
  </conditionalFormatting>
  <conditionalFormatting sqref="A6:B6">
    <cfRule type="expression" dxfId="219" priority="225">
      <formula>$D6&lt;&gt;""</formula>
    </cfRule>
  </conditionalFormatting>
  <conditionalFormatting sqref="C4">
    <cfRule type="expression" dxfId="218" priority="227">
      <formula>$D14&lt;&gt;""</formula>
    </cfRule>
  </conditionalFormatting>
  <conditionalFormatting sqref="C35">
    <cfRule type="expression" dxfId="217" priority="219">
      <formula>$D34&lt;&gt;""</formula>
    </cfRule>
  </conditionalFormatting>
  <conditionalFormatting sqref="C40:C44">
    <cfRule type="expression" dxfId="216" priority="222">
      <formula>$D40&lt;&gt;""</formula>
    </cfRule>
  </conditionalFormatting>
  <conditionalFormatting sqref="A32:C32">
    <cfRule type="expression" dxfId="215" priority="221">
      <formula>$D31&lt;&gt;""</formula>
    </cfRule>
  </conditionalFormatting>
  <conditionalFormatting sqref="A33:B33">
    <cfRule type="expression" dxfId="214" priority="220">
      <formula>$D32&lt;&gt;""</formula>
    </cfRule>
  </conditionalFormatting>
  <conditionalFormatting sqref="C33">
    <cfRule type="expression" dxfId="213" priority="218">
      <formula>$D32&lt;&gt;""</formula>
    </cfRule>
  </conditionalFormatting>
  <conditionalFormatting sqref="C34">
    <cfRule type="expression" dxfId="212" priority="217">
      <formula>$D33&lt;&gt;""</formula>
    </cfRule>
  </conditionalFormatting>
  <conditionalFormatting sqref="G35">
    <cfRule type="expression" dxfId="211" priority="212">
      <formula>$D34&lt;&gt;""</formula>
    </cfRule>
  </conditionalFormatting>
  <conditionalFormatting sqref="G40:G44">
    <cfRule type="expression" dxfId="210" priority="215">
      <formula>$D40&lt;&gt;""</formula>
    </cfRule>
  </conditionalFormatting>
  <conditionalFormatting sqref="E32:G32">
    <cfRule type="expression" dxfId="209" priority="214">
      <formula>$D31&lt;&gt;""</formula>
    </cfRule>
  </conditionalFormatting>
  <conditionalFormatting sqref="E33:F33">
    <cfRule type="expression" dxfId="208" priority="213">
      <formula>$D32&lt;&gt;""</formula>
    </cfRule>
  </conditionalFormatting>
  <conditionalFormatting sqref="G33">
    <cfRule type="expression" dxfId="207" priority="211">
      <formula>$D32&lt;&gt;""</formula>
    </cfRule>
  </conditionalFormatting>
  <conditionalFormatting sqref="G34">
    <cfRule type="expression" dxfId="206" priority="210">
      <formula>$D33&lt;&gt;""</formula>
    </cfRule>
  </conditionalFormatting>
  <conditionalFormatting sqref="G31">
    <cfRule type="expression" dxfId="205" priority="216">
      <formula>#REF!&lt;&gt;""</formula>
    </cfRule>
  </conditionalFormatting>
  <conditionalFormatting sqref="K35">
    <cfRule type="expression" dxfId="204" priority="205">
      <formula>$D34&lt;&gt;""</formula>
    </cfRule>
  </conditionalFormatting>
  <conditionalFormatting sqref="K40:K44">
    <cfRule type="expression" dxfId="203" priority="208">
      <formula>$D40&lt;&gt;""</formula>
    </cfRule>
  </conditionalFormatting>
  <conditionalFormatting sqref="I32:K32">
    <cfRule type="expression" dxfId="202" priority="207">
      <formula>$D31&lt;&gt;""</formula>
    </cfRule>
  </conditionalFormatting>
  <conditionalFormatting sqref="I33:J33">
    <cfRule type="expression" dxfId="201" priority="206">
      <formula>$D32&lt;&gt;""</formula>
    </cfRule>
  </conditionalFormatting>
  <conditionalFormatting sqref="K33">
    <cfRule type="expression" dxfId="200" priority="204">
      <formula>$D32&lt;&gt;""</formula>
    </cfRule>
  </conditionalFormatting>
  <conditionalFormatting sqref="K34">
    <cfRule type="expression" dxfId="199" priority="203">
      <formula>$D33&lt;&gt;""</formula>
    </cfRule>
  </conditionalFormatting>
  <conditionalFormatting sqref="K31">
    <cfRule type="expression" dxfId="198" priority="209">
      <formula>#REF!&lt;&gt;""</formula>
    </cfRule>
  </conditionalFormatting>
  <conditionalFormatting sqref="O40:O44">
    <cfRule type="expression" dxfId="197" priority="201">
      <formula>$D40&lt;&gt;""</formula>
    </cfRule>
  </conditionalFormatting>
  <conditionalFormatting sqref="M32:O32">
    <cfRule type="expression" dxfId="196" priority="200">
      <formula>$D31&lt;&gt;""</formula>
    </cfRule>
  </conditionalFormatting>
  <conditionalFormatting sqref="M33:N33">
    <cfRule type="expression" dxfId="195" priority="199">
      <formula>$D32&lt;&gt;""</formula>
    </cfRule>
  </conditionalFormatting>
  <conditionalFormatting sqref="O33">
    <cfRule type="expression" dxfId="194" priority="197">
      <formula>$D32&lt;&gt;""</formula>
    </cfRule>
  </conditionalFormatting>
  <conditionalFormatting sqref="O34">
    <cfRule type="expression" dxfId="193" priority="196">
      <formula>$D33&lt;&gt;""</formula>
    </cfRule>
  </conditionalFormatting>
  <conditionalFormatting sqref="O31">
    <cfRule type="expression" dxfId="192" priority="202">
      <formula>#REF!&lt;&gt;""</formula>
    </cfRule>
  </conditionalFormatting>
  <conditionalFormatting sqref="C31">
    <cfRule type="expression" dxfId="191" priority="195">
      <formula>$D30&lt;&gt;""</formula>
    </cfRule>
  </conditionalFormatting>
  <conditionalFormatting sqref="K36">
    <cfRule type="expression" dxfId="190" priority="194">
      <formula>$D35&lt;&gt;""</formula>
    </cfRule>
  </conditionalFormatting>
  <conditionalFormatting sqref="G36">
    <cfRule type="expression" dxfId="189" priority="193">
      <formula>$D35&lt;&gt;""</formula>
    </cfRule>
  </conditionalFormatting>
  <conditionalFormatting sqref="C36">
    <cfRule type="expression" dxfId="188" priority="192">
      <formula>$D35&lt;&gt;""</formula>
    </cfRule>
  </conditionalFormatting>
  <conditionalFormatting sqref="C58">
    <cfRule type="expression" dxfId="187" priority="187">
      <formula>$D57&lt;&gt;""</formula>
    </cfRule>
  </conditionalFormatting>
  <conditionalFormatting sqref="C63:C67">
    <cfRule type="expression" dxfId="186" priority="190">
      <formula>$D63&lt;&gt;""</formula>
    </cfRule>
  </conditionalFormatting>
  <conditionalFormatting sqref="A55:C55">
    <cfRule type="expression" dxfId="185" priority="189">
      <formula>$D54&lt;&gt;""</formula>
    </cfRule>
  </conditionalFormatting>
  <conditionalFormatting sqref="A56:B56">
    <cfRule type="expression" dxfId="184" priority="188">
      <formula>$D55&lt;&gt;""</formula>
    </cfRule>
  </conditionalFormatting>
  <conditionalFormatting sqref="C56">
    <cfRule type="expression" dxfId="183" priority="186">
      <formula>$D55&lt;&gt;""</formula>
    </cfRule>
  </conditionalFormatting>
  <conditionalFormatting sqref="C57">
    <cfRule type="expression" dxfId="182" priority="185">
      <formula>$D56&lt;&gt;""</formula>
    </cfRule>
  </conditionalFormatting>
  <conditionalFormatting sqref="C54">
    <cfRule type="expression" dxfId="181" priority="191">
      <formula>#REF!&lt;&gt;""</formula>
    </cfRule>
  </conditionalFormatting>
  <conditionalFormatting sqref="G58">
    <cfRule type="expression" dxfId="180" priority="180">
      <formula>$D57&lt;&gt;""</formula>
    </cfRule>
  </conditionalFormatting>
  <conditionalFormatting sqref="G63:G67">
    <cfRule type="expression" dxfId="179" priority="183">
      <formula>$D63&lt;&gt;""</formula>
    </cfRule>
  </conditionalFormatting>
  <conditionalFormatting sqref="E55:G55">
    <cfRule type="expression" dxfId="178" priority="182">
      <formula>$D54&lt;&gt;""</formula>
    </cfRule>
  </conditionalFormatting>
  <conditionalFormatting sqref="E56:F56">
    <cfRule type="expression" dxfId="177" priority="181">
      <formula>$D55&lt;&gt;""</formula>
    </cfRule>
  </conditionalFormatting>
  <conditionalFormatting sqref="G56">
    <cfRule type="expression" dxfId="176" priority="179">
      <formula>$D55&lt;&gt;""</formula>
    </cfRule>
  </conditionalFormatting>
  <conditionalFormatting sqref="G57">
    <cfRule type="expression" dxfId="175" priority="178">
      <formula>$D56&lt;&gt;""</formula>
    </cfRule>
  </conditionalFormatting>
  <conditionalFormatting sqref="G54">
    <cfRule type="expression" dxfId="174" priority="184">
      <formula>#REF!&lt;&gt;""</formula>
    </cfRule>
  </conditionalFormatting>
  <conditionalFormatting sqref="K58">
    <cfRule type="expression" dxfId="173" priority="173">
      <formula>$D57&lt;&gt;""</formula>
    </cfRule>
  </conditionalFormatting>
  <conditionalFormatting sqref="K63:K67">
    <cfRule type="expression" dxfId="172" priority="176">
      <formula>$D63&lt;&gt;""</formula>
    </cfRule>
  </conditionalFormatting>
  <conditionalFormatting sqref="I55:K55">
    <cfRule type="expression" dxfId="171" priority="175">
      <formula>$D54&lt;&gt;""</formula>
    </cfRule>
  </conditionalFormatting>
  <conditionalFormatting sqref="I56:J56">
    <cfRule type="expression" dxfId="170" priority="174">
      <formula>$D55&lt;&gt;""</formula>
    </cfRule>
  </conditionalFormatting>
  <conditionalFormatting sqref="K56">
    <cfRule type="expression" dxfId="169" priority="172">
      <formula>$D55&lt;&gt;""</formula>
    </cfRule>
  </conditionalFormatting>
  <conditionalFormatting sqref="K57">
    <cfRule type="expression" dxfId="168" priority="171">
      <formula>$D56&lt;&gt;""</formula>
    </cfRule>
  </conditionalFormatting>
  <conditionalFormatting sqref="K54">
    <cfRule type="expression" dxfId="167" priority="177">
      <formula>#REF!&lt;&gt;""</formula>
    </cfRule>
  </conditionalFormatting>
  <conditionalFormatting sqref="O58">
    <cfRule type="expression" dxfId="166" priority="166">
      <formula>$D57&lt;&gt;""</formula>
    </cfRule>
  </conditionalFormatting>
  <conditionalFormatting sqref="O63 O65:O67">
    <cfRule type="expression" dxfId="165" priority="169">
      <formula>$D63&lt;&gt;""</formula>
    </cfRule>
  </conditionalFormatting>
  <conditionalFormatting sqref="M55:O55">
    <cfRule type="expression" dxfId="164" priority="168">
      <formula>$D54&lt;&gt;""</formula>
    </cfRule>
  </conditionalFormatting>
  <conditionalFormatting sqref="M56:N56">
    <cfRule type="expression" dxfId="163" priority="167">
      <formula>$D55&lt;&gt;""</formula>
    </cfRule>
  </conditionalFormatting>
  <conditionalFormatting sqref="O56">
    <cfRule type="expression" dxfId="162" priority="165">
      <formula>$D55&lt;&gt;""</formula>
    </cfRule>
  </conditionalFormatting>
  <conditionalFormatting sqref="O57">
    <cfRule type="expression" dxfId="161" priority="164">
      <formula>$D56&lt;&gt;""</formula>
    </cfRule>
  </conditionalFormatting>
  <conditionalFormatting sqref="O54">
    <cfRule type="expression" dxfId="160" priority="170">
      <formula>#REF!&lt;&gt;""</formula>
    </cfRule>
  </conditionalFormatting>
  <conditionalFormatting sqref="C81">
    <cfRule type="expression" dxfId="159" priority="159">
      <formula>$D80&lt;&gt;""</formula>
    </cfRule>
  </conditionalFormatting>
  <conditionalFormatting sqref="C87:C90">
    <cfRule type="expression" dxfId="158" priority="162">
      <formula>$D87&lt;&gt;""</formula>
    </cfRule>
  </conditionalFormatting>
  <conditionalFormatting sqref="A78:B78">
    <cfRule type="expression" dxfId="157" priority="161">
      <formula>$D77&lt;&gt;""</formula>
    </cfRule>
  </conditionalFormatting>
  <conditionalFormatting sqref="A79:B79">
    <cfRule type="expression" dxfId="156" priority="160">
      <formula>$D78&lt;&gt;""</formula>
    </cfRule>
  </conditionalFormatting>
  <conditionalFormatting sqref="C79">
    <cfRule type="expression" dxfId="155" priority="158">
      <formula>$D78&lt;&gt;""</formula>
    </cfRule>
  </conditionalFormatting>
  <conditionalFormatting sqref="C80">
    <cfRule type="expression" dxfId="154" priority="157">
      <formula>$D79&lt;&gt;""</formula>
    </cfRule>
  </conditionalFormatting>
  <conditionalFormatting sqref="C77">
    <cfRule type="expression" dxfId="153" priority="163">
      <formula>#REF!&lt;&gt;""</formula>
    </cfRule>
  </conditionalFormatting>
  <conditionalFormatting sqref="G81">
    <cfRule type="expression" dxfId="152" priority="152">
      <formula>$D80&lt;&gt;""</formula>
    </cfRule>
  </conditionalFormatting>
  <conditionalFormatting sqref="G87:G90">
    <cfRule type="expression" dxfId="151" priority="155">
      <formula>$D87&lt;&gt;""</formula>
    </cfRule>
  </conditionalFormatting>
  <conditionalFormatting sqref="E78:F78">
    <cfRule type="expression" dxfId="150" priority="154">
      <formula>$D77&lt;&gt;""</formula>
    </cfRule>
  </conditionalFormatting>
  <conditionalFormatting sqref="E79:F79">
    <cfRule type="expression" dxfId="149" priority="153">
      <formula>$D78&lt;&gt;""</formula>
    </cfRule>
  </conditionalFormatting>
  <conditionalFormatting sqref="G79">
    <cfRule type="expression" dxfId="148" priority="151">
      <formula>$D78&lt;&gt;""</formula>
    </cfRule>
  </conditionalFormatting>
  <conditionalFormatting sqref="G80">
    <cfRule type="expression" dxfId="147" priority="150">
      <formula>$D79&lt;&gt;""</formula>
    </cfRule>
  </conditionalFormatting>
  <conditionalFormatting sqref="G77">
    <cfRule type="expression" dxfId="146" priority="156">
      <formula>#REF!&lt;&gt;""</formula>
    </cfRule>
  </conditionalFormatting>
  <conditionalFormatting sqref="K81">
    <cfRule type="expression" dxfId="145" priority="145">
      <formula>$D80&lt;&gt;""</formula>
    </cfRule>
  </conditionalFormatting>
  <conditionalFormatting sqref="K86:K90">
    <cfRule type="expression" dxfId="144" priority="148">
      <formula>$D86&lt;&gt;""</formula>
    </cfRule>
  </conditionalFormatting>
  <conditionalFormatting sqref="I78:J78">
    <cfRule type="expression" dxfId="143" priority="147">
      <formula>$D77&lt;&gt;""</formula>
    </cfRule>
  </conditionalFormatting>
  <conditionalFormatting sqref="I79:J79">
    <cfRule type="expression" dxfId="142" priority="146">
      <formula>$D78&lt;&gt;""</formula>
    </cfRule>
  </conditionalFormatting>
  <conditionalFormatting sqref="K79">
    <cfRule type="expression" dxfId="141" priority="144">
      <formula>$D78&lt;&gt;""</formula>
    </cfRule>
  </conditionalFormatting>
  <conditionalFormatting sqref="K80">
    <cfRule type="expression" dxfId="140" priority="143">
      <formula>$D79&lt;&gt;""</formula>
    </cfRule>
  </conditionalFormatting>
  <conditionalFormatting sqref="K77">
    <cfRule type="expression" dxfId="139" priority="149">
      <formula>#REF!&lt;&gt;""</formula>
    </cfRule>
  </conditionalFormatting>
  <conditionalFormatting sqref="O81">
    <cfRule type="expression" dxfId="138" priority="138">
      <formula>$D80&lt;&gt;""</formula>
    </cfRule>
  </conditionalFormatting>
  <conditionalFormatting sqref="O86:O90">
    <cfRule type="expression" dxfId="137" priority="141">
      <formula>$D86&lt;&gt;""</formula>
    </cfRule>
  </conditionalFormatting>
  <conditionalFormatting sqref="M78:N78">
    <cfRule type="expression" dxfId="136" priority="140">
      <formula>$D77&lt;&gt;""</formula>
    </cfRule>
  </conditionalFormatting>
  <conditionalFormatting sqref="M79:N79">
    <cfRule type="expression" dxfId="135" priority="139">
      <formula>$D78&lt;&gt;""</formula>
    </cfRule>
  </conditionalFormatting>
  <conditionalFormatting sqref="O79">
    <cfRule type="expression" dxfId="134" priority="137">
      <formula>$D78&lt;&gt;""</formula>
    </cfRule>
  </conditionalFormatting>
  <conditionalFormatting sqref="O80">
    <cfRule type="expression" dxfId="133" priority="136">
      <formula>$D79&lt;&gt;""</formula>
    </cfRule>
  </conditionalFormatting>
  <conditionalFormatting sqref="O77">
    <cfRule type="expression" dxfId="132" priority="142">
      <formula>#REF!&lt;&gt;""</formula>
    </cfRule>
  </conditionalFormatting>
  <conditionalFormatting sqref="C104:C105">
    <cfRule type="expression" dxfId="131" priority="131">
      <formula>$D103&lt;&gt;""</formula>
    </cfRule>
  </conditionalFormatting>
  <conditionalFormatting sqref="C109:C113">
    <cfRule type="expression" dxfId="130" priority="134">
      <formula>$D109&lt;&gt;""</formula>
    </cfRule>
  </conditionalFormatting>
  <conditionalFormatting sqref="A101:B101">
    <cfRule type="expression" dxfId="129" priority="133">
      <formula>$D100&lt;&gt;""</formula>
    </cfRule>
  </conditionalFormatting>
  <conditionalFormatting sqref="A102:B102">
    <cfRule type="expression" dxfId="128" priority="132">
      <formula>$D101&lt;&gt;""</formula>
    </cfRule>
  </conditionalFormatting>
  <conditionalFormatting sqref="C102">
    <cfRule type="expression" dxfId="127" priority="130">
      <formula>$D101&lt;&gt;""</formula>
    </cfRule>
  </conditionalFormatting>
  <conditionalFormatting sqref="C103">
    <cfRule type="expression" dxfId="126" priority="129">
      <formula>$D102&lt;&gt;""</formula>
    </cfRule>
  </conditionalFormatting>
  <conditionalFormatting sqref="C100">
    <cfRule type="expression" dxfId="125" priority="135">
      <formula>#REF!&lt;&gt;""</formula>
    </cfRule>
  </conditionalFormatting>
  <conditionalFormatting sqref="G104:G105">
    <cfRule type="expression" dxfId="124" priority="124">
      <formula>$D103&lt;&gt;""</formula>
    </cfRule>
  </conditionalFormatting>
  <conditionalFormatting sqref="G109:G113">
    <cfRule type="expression" dxfId="123" priority="127">
      <formula>$D109&lt;&gt;""</formula>
    </cfRule>
  </conditionalFormatting>
  <conditionalFormatting sqref="E101:F101">
    <cfRule type="expression" dxfId="122" priority="126">
      <formula>$D100&lt;&gt;""</formula>
    </cfRule>
  </conditionalFormatting>
  <conditionalFormatting sqref="E102:F102">
    <cfRule type="expression" dxfId="121" priority="125">
      <formula>$D101&lt;&gt;""</formula>
    </cfRule>
  </conditionalFormatting>
  <conditionalFormatting sqref="G102">
    <cfRule type="expression" dxfId="120" priority="123">
      <formula>$D101&lt;&gt;""</formula>
    </cfRule>
  </conditionalFormatting>
  <conditionalFormatting sqref="G103">
    <cfRule type="expression" dxfId="119" priority="122">
      <formula>$D102&lt;&gt;""</formula>
    </cfRule>
  </conditionalFormatting>
  <conditionalFormatting sqref="G100">
    <cfRule type="expression" dxfId="118" priority="128">
      <formula>#REF!&lt;&gt;""</formula>
    </cfRule>
  </conditionalFormatting>
  <conditionalFormatting sqref="K104:K105">
    <cfRule type="expression" dxfId="117" priority="117">
      <formula>$D103&lt;&gt;""</formula>
    </cfRule>
  </conditionalFormatting>
  <conditionalFormatting sqref="K109:K113">
    <cfRule type="expression" dxfId="116" priority="120">
      <formula>$D109&lt;&gt;""</formula>
    </cfRule>
  </conditionalFormatting>
  <conditionalFormatting sqref="I101:J101">
    <cfRule type="expression" dxfId="115" priority="119">
      <formula>$D100&lt;&gt;""</formula>
    </cfRule>
  </conditionalFormatting>
  <conditionalFormatting sqref="I102:J102">
    <cfRule type="expression" dxfId="114" priority="118">
      <formula>$D101&lt;&gt;""</formula>
    </cfRule>
  </conditionalFormatting>
  <conditionalFormatting sqref="K102">
    <cfRule type="expression" dxfId="113" priority="116">
      <formula>$D101&lt;&gt;""</formula>
    </cfRule>
  </conditionalFormatting>
  <conditionalFormatting sqref="K103">
    <cfRule type="expression" dxfId="112" priority="115">
      <formula>$D102&lt;&gt;""</formula>
    </cfRule>
  </conditionalFormatting>
  <conditionalFormatting sqref="K100">
    <cfRule type="expression" dxfId="111" priority="121">
      <formula>#REF!&lt;&gt;""</formula>
    </cfRule>
  </conditionalFormatting>
  <conditionalFormatting sqref="O104:O105">
    <cfRule type="expression" dxfId="110" priority="110">
      <formula>$D103&lt;&gt;""</formula>
    </cfRule>
  </conditionalFormatting>
  <conditionalFormatting sqref="O109:O113">
    <cfRule type="expression" dxfId="109" priority="113">
      <formula>$D109&lt;&gt;""</formula>
    </cfRule>
  </conditionalFormatting>
  <conditionalFormatting sqref="M101:N101">
    <cfRule type="expression" dxfId="108" priority="112">
      <formula>$D100&lt;&gt;""</formula>
    </cfRule>
  </conditionalFormatting>
  <conditionalFormatting sqref="M102:N102">
    <cfRule type="expression" dxfId="107" priority="111">
      <formula>$D101&lt;&gt;""</formula>
    </cfRule>
  </conditionalFormatting>
  <conditionalFormatting sqref="O102">
    <cfRule type="expression" dxfId="106" priority="109">
      <formula>$D101&lt;&gt;""</formula>
    </cfRule>
  </conditionalFormatting>
  <conditionalFormatting sqref="O103">
    <cfRule type="expression" dxfId="105" priority="108">
      <formula>$D102&lt;&gt;""</formula>
    </cfRule>
  </conditionalFormatting>
  <conditionalFormatting sqref="O100">
    <cfRule type="expression" dxfId="104" priority="114">
      <formula>#REF!&lt;&gt;""</formula>
    </cfRule>
  </conditionalFormatting>
  <conditionalFormatting sqref="G6:G12">
    <cfRule type="expression" dxfId="103" priority="104">
      <formula>$D6&lt;&gt;""</formula>
    </cfRule>
  </conditionalFormatting>
  <conditionalFormatting sqref="E5:G5">
    <cfRule type="expression" dxfId="102" priority="106">
      <formula>$D5&lt;&gt;""</formula>
    </cfRule>
  </conditionalFormatting>
  <conditionalFormatting sqref="E6:F6">
    <cfRule type="expression" dxfId="101" priority="105">
      <formula>$D6&lt;&gt;""</formula>
    </cfRule>
  </conditionalFormatting>
  <conditionalFormatting sqref="G4">
    <cfRule type="expression" dxfId="100" priority="107">
      <formula>$D14&lt;&gt;""</formula>
    </cfRule>
  </conditionalFormatting>
  <conditionalFormatting sqref="K6:K12">
    <cfRule type="expression" dxfId="99" priority="99">
      <formula>$D6&lt;&gt;""</formula>
    </cfRule>
  </conditionalFormatting>
  <conditionalFormatting sqref="I5:K5">
    <cfRule type="expression" dxfId="98" priority="101">
      <formula>$D5&lt;&gt;""</formula>
    </cfRule>
  </conditionalFormatting>
  <conditionalFormatting sqref="I6:J6">
    <cfRule type="expression" dxfId="97" priority="100">
      <formula>$D6&lt;&gt;""</formula>
    </cfRule>
  </conditionalFormatting>
  <conditionalFormatting sqref="K4">
    <cfRule type="expression" dxfId="96" priority="102">
      <formula>$D14&lt;&gt;""</formula>
    </cfRule>
  </conditionalFormatting>
  <conditionalFormatting sqref="O6:O12">
    <cfRule type="expression" dxfId="95" priority="94">
      <formula>$D6&lt;&gt;""</formula>
    </cfRule>
  </conditionalFormatting>
  <conditionalFormatting sqref="M5:O5">
    <cfRule type="expression" dxfId="94" priority="96">
      <formula>$D5&lt;&gt;""</formula>
    </cfRule>
  </conditionalFormatting>
  <conditionalFormatting sqref="M6:N6">
    <cfRule type="expression" dxfId="93" priority="95">
      <formula>$D6&lt;&gt;""</formula>
    </cfRule>
  </conditionalFormatting>
  <conditionalFormatting sqref="O4">
    <cfRule type="expression" dxfId="92" priority="97">
      <formula>$D14&lt;&gt;""</formula>
    </cfRule>
  </conditionalFormatting>
  <conditionalFormatting sqref="C59">
    <cfRule type="expression" dxfId="91" priority="92">
      <formula>$D58&lt;&gt;""</formula>
    </cfRule>
  </conditionalFormatting>
  <conditionalFormatting sqref="G13">
    <cfRule type="expression" dxfId="90" priority="91">
      <formula>$D12&lt;&gt;""</formula>
    </cfRule>
  </conditionalFormatting>
  <conditionalFormatting sqref="K13">
    <cfRule type="expression" dxfId="89" priority="90">
      <formula>$D12&lt;&gt;""</formula>
    </cfRule>
  </conditionalFormatting>
  <conditionalFormatting sqref="O13">
    <cfRule type="expression" dxfId="88" priority="89">
      <formula>$D12&lt;&gt;""</formula>
    </cfRule>
  </conditionalFormatting>
  <conditionalFormatting sqref="G59">
    <cfRule type="expression" dxfId="87" priority="88">
      <formula>$D58&lt;&gt;""</formula>
    </cfRule>
  </conditionalFormatting>
  <conditionalFormatting sqref="K59">
    <cfRule type="expression" dxfId="86" priority="87">
      <formula>$D58&lt;&gt;""</formula>
    </cfRule>
  </conditionalFormatting>
  <conditionalFormatting sqref="O59">
    <cfRule type="expression" dxfId="85" priority="86">
      <formula>$D58&lt;&gt;""</formula>
    </cfRule>
  </conditionalFormatting>
  <conditionalFormatting sqref="C82">
    <cfRule type="expression" dxfId="84" priority="85">
      <formula>$D81&lt;&gt;""</formula>
    </cfRule>
  </conditionalFormatting>
  <conditionalFormatting sqref="G82">
    <cfRule type="expression" dxfId="83" priority="84">
      <formula>$D81&lt;&gt;""</formula>
    </cfRule>
  </conditionalFormatting>
  <conditionalFormatting sqref="K82">
    <cfRule type="expression" dxfId="82" priority="83">
      <formula>$D81&lt;&gt;""</formula>
    </cfRule>
  </conditionalFormatting>
  <conditionalFormatting sqref="O82">
    <cfRule type="expression" dxfId="81" priority="82">
      <formula>$D81&lt;&gt;""</formula>
    </cfRule>
  </conditionalFormatting>
  <conditionalFormatting sqref="O64">
    <cfRule type="expression" dxfId="80" priority="81">
      <formula>$D64&lt;&gt;""</formula>
    </cfRule>
  </conditionalFormatting>
  <conditionalFormatting sqref="C86">
    <cfRule type="expression" dxfId="79" priority="80">
      <formula>$D86&lt;&gt;""</formula>
    </cfRule>
  </conditionalFormatting>
  <conditionalFormatting sqref="G86">
    <cfRule type="expression" dxfId="78" priority="79">
      <formula>$D86&lt;&gt;""</formula>
    </cfRule>
  </conditionalFormatting>
  <conditionalFormatting sqref="O36">
    <cfRule type="expression" dxfId="77" priority="78">
      <formula>$D35&lt;&gt;""</formula>
    </cfRule>
  </conditionalFormatting>
  <conditionalFormatting sqref="O35">
    <cfRule type="expression" dxfId="76" priority="77">
      <formula>$D34&lt;&gt;""</formula>
    </cfRule>
  </conditionalFormatting>
  <conditionalFormatting sqref="C17:C21">
    <cfRule type="expression" dxfId="75" priority="76">
      <formula>$D17&lt;&gt;""</formula>
    </cfRule>
  </conditionalFormatting>
  <conditionalFormatting sqref="G17:G21">
    <cfRule type="expression" dxfId="74" priority="75">
      <formula>$D17&lt;&gt;""</formula>
    </cfRule>
  </conditionalFormatting>
  <conditionalFormatting sqref="K17:K21">
    <cfRule type="expression" dxfId="73" priority="74">
      <formula>$D17&lt;&gt;""</formula>
    </cfRule>
  </conditionalFormatting>
  <conditionalFormatting sqref="O17:O21">
    <cfRule type="expression" dxfId="72" priority="73">
      <formula>$D17&lt;&gt;""</formula>
    </cfRule>
  </conditionalFormatting>
  <conditionalFormatting sqref="C78">
    <cfRule type="expression" dxfId="71" priority="72">
      <formula>$D77&lt;&gt;""</formula>
    </cfRule>
  </conditionalFormatting>
  <conditionalFormatting sqref="G78">
    <cfRule type="expression" dxfId="70" priority="71">
      <formula>$D77&lt;&gt;""</formula>
    </cfRule>
  </conditionalFormatting>
  <conditionalFormatting sqref="K78">
    <cfRule type="expression" dxfId="69" priority="70">
      <formula>$D77&lt;&gt;""</formula>
    </cfRule>
  </conditionalFormatting>
  <conditionalFormatting sqref="O78">
    <cfRule type="expression" dxfId="68" priority="69">
      <formula>$D77&lt;&gt;""</formula>
    </cfRule>
  </conditionalFormatting>
  <conditionalFormatting sqref="C101">
    <cfRule type="expression" dxfId="67" priority="68">
      <formula>$D100&lt;&gt;""</formula>
    </cfRule>
  </conditionalFormatting>
  <conditionalFormatting sqref="G101">
    <cfRule type="expression" dxfId="66" priority="67">
      <formula>$D100&lt;&gt;""</formula>
    </cfRule>
  </conditionalFormatting>
  <conditionalFormatting sqref="K101">
    <cfRule type="expression" dxfId="65" priority="66">
      <formula>$D100&lt;&gt;""</formula>
    </cfRule>
  </conditionalFormatting>
  <conditionalFormatting sqref="O101">
    <cfRule type="expression" dxfId="64" priority="65">
      <formula>$D100&lt;&gt;""</formula>
    </cfRule>
  </conditionalFormatting>
  <conditionalFormatting sqref="C127:C128">
    <cfRule type="expression" dxfId="63" priority="60">
      <formula>$D126&lt;&gt;""</formula>
    </cfRule>
  </conditionalFormatting>
  <conditionalFormatting sqref="C132:C136">
    <cfRule type="expression" dxfId="62" priority="63">
      <formula>$D132&lt;&gt;""</formula>
    </cfRule>
  </conditionalFormatting>
  <conditionalFormatting sqref="A124:B124">
    <cfRule type="expression" dxfId="61" priority="62">
      <formula>$D123&lt;&gt;""</formula>
    </cfRule>
  </conditionalFormatting>
  <conditionalFormatting sqref="A125:B125">
    <cfRule type="expression" dxfId="60" priority="61">
      <formula>$D124&lt;&gt;""</formula>
    </cfRule>
  </conditionalFormatting>
  <conditionalFormatting sqref="C125">
    <cfRule type="expression" dxfId="59" priority="59">
      <formula>$D124&lt;&gt;""</formula>
    </cfRule>
  </conditionalFormatting>
  <conditionalFormatting sqref="C126">
    <cfRule type="expression" dxfId="58" priority="58">
      <formula>$D125&lt;&gt;""</formula>
    </cfRule>
  </conditionalFormatting>
  <conditionalFormatting sqref="C123">
    <cfRule type="expression" dxfId="57" priority="64">
      <formula>#REF!&lt;&gt;""</formula>
    </cfRule>
  </conditionalFormatting>
  <conditionalFormatting sqref="G127:G128">
    <cfRule type="expression" dxfId="56" priority="53">
      <formula>$D126&lt;&gt;""</formula>
    </cfRule>
  </conditionalFormatting>
  <conditionalFormatting sqref="G132:G136">
    <cfRule type="expression" dxfId="55" priority="56">
      <formula>$D132&lt;&gt;""</formula>
    </cfRule>
  </conditionalFormatting>
  <conditionalFormatting sqref="E124:F124">
    <cfRule type="expression" dxfId="54" priority="55">
      <formula>$D123&lt;&gt;""</formula>
    </cfRule>
  </conditionalFormatting>
  <conditionalFormatting sqref="E125:F125">
    <cfRule type="expression" dxfId="53" priority="54">
      <formula>$D124&lt;&gt;""</formula>
    </cfRule>
  </conditionalFormatting>
  <conditionalFormatting sqref="G125">
    <cfRule type="expression" dxfId="52" priority="52">
      <formula>$D124&lt;&gt;""</formula>
    </cfRule>
  </conditionalFormatting>
  <conditionalFormatting sqref="G126">
    <cfRule type="expression" dxfId="51" priority="51">
      <formula>$D125&lt;&gt;""</formula>
    </cfRule>
  </conditionalFormatting>
  <conditionalFormatting sqref="G123">
    <cfRule type="expression" dxfId="50" priority="57">
      <formula>#REF!&lt;&gt;""</formula>
    </cfRule>
  </conditionalFormatting>
  <conditionalFormatting sqref="K127:K128">
    <cfRule type="expression" dxfId="49" priority="46">
      <formula>$D126&lt;&gt;""</formula>
    </cfRule>
  </conditionalFormatting>
  <conditionalFormatting sqref="K132:K136">
    <cfRule type="expression" dxfId="48" priority="49">
      <formula>$D132&lt;&gt;""</formula>
    </cfRule>
  </conditionalFormatting>
  <conditionalFormatting sqref="I124:J124">
    <cfRule type="expression" dxfId="47" priority="48">
      <formula>$D123&lt;&gt;""</formula>
    </cfRule>
  </conditionalFormatting>
  <conditionalFormatting sqref="I125:J125">
    <cfRule type="expression" dxfId="46" priority="47">
      <formula>$D124&lt;&gt;""</formula>
    </cfRule>
  </conditionalFormatting>
  <conditionalFormatting sqref="K125">
    <cfRule type="expression" dxfId="45" priority="45">
      <formula>$D124&lt;&gt;""</formula>
    </cfRule>
  </conditionalFormatting>
  <conditionalFormatting sqref="K126">
    <cfRule type="expression" dxfId="44" priority="44">
      <formula>$D125&lt;&gt;""</formula>
    </cfRule>
  </conditionalFormatting>
  <conditionalFormatting sqref="K123">
    <cfRule type="expression" dxfId="43" priority="50">
      <formula>#REF!&lt;&gt;""</formula>
    </cfRule>
  </conditionalFormatting>
  <conditionalFormatting sqref="O127:O128">
    <cfRule type="expression" dxfId="42" priority="39">
      <formula>$D126&lt;&gt;""</formula>
    </cfRule>
  </conditionalFormatting>
  <conditionalFormatting sqref="O132:O136">
    <cfRule type="expression" dxfId="41" priority="42">
      <formula>$D132&lt;&gt;""</formula>
    </cfRule>
  </conditionalFormatting>
  <conditionalFormatting sqref="M124:N124">
    <cfRule type="expression" dxfId="40" priority="41">
      <formula>$D123&lt;&gt;""</formula>
    </cfRule>
  </conditionalFormatting>
  <conditionalFormatting sqref="M125:N125">
    <cfRule type="expression" dxfId="39" priority="40">
      <formula>$D124&lt;&gt;""</formula>
    </cfRule>
  </conditionalFormatting>
  <conditionalFormatting sqref="O125">
    <cfRule type="expression" dxfId="38" priority="38">
      <formula>$D124&lt;&gt;""</formula>
    </cfRule>
  </conditionalFormatting>
  <conditionalFormatting sqref="O126">
    <cfRule type="expression" dxfId="37" priority="37">
      <formula>$D125&lt;&gt;""</formula>
    </cfRule>
  </conditionalFormatting>
  <conditionalFormatting sqref="O123">
    <cfRule type="expression" dxfId="36" priority="43">
      <formula>#REF!&lt;&gt;""</formula>
    </cfRule>
  </conditionalFormatting>
  <conditionalFormatting sqref="C124">
    <cfRule type="expression" dxfId="35" priority="36">
      <formula>$D123&lt;&gt;""</formula>
    </cfRule>
  </conditionalFormatting>
  <conditionalFormatting sqref="G124">
    <cfRule type="expression" dxfId="34" priority="35">
      <formula>$D123&lt;&gt;""</formula>
    </cfRule>
  </conditionalFormatting>
  <conditionalFormatting sqref="K124">
    <cfRule type="expression" dxfId="33" priority="34">
      <formula>$D123&lt;&gt;""</formula>
    </cfRule>
  </conditionalFormatting>
  <conditionalFormatting sqref="O124">
    <cfRule type="expression" dxfId="32" priority="33">
      <formula>$D123&lt;&gt;""</formula>
    </cfRule>
  </conditionalFormatting>
  <conditionalFormatting sqref="C150:C151">
    <cfRule type="expression" dxfId="31" priority="28">
      <formula>$D149&lt;&gt;""</formula>
    </cfRule>
  </conditionalFormatting>
  <conditionalFormatting sqref="C155:C159">
    <cfRule type="expression" dxfId="30" priority="31">
      <formula>$D155&lt;&gt;""</formula>
    </cfRule>
  </conditionalFormatting>
  <conditionalFormatting sqref="A147:B147">
    <cfRule type="expression" dxfId="29" priority="30">
      <formula>$D146&lt;&gt;""</formula>
    </cfRule>
  </conditionalFormatting>
  <conditionalFormatting sqref="A148:B148">
    <cfRule type="expression" dxfId="28" priority="29">
      <formula>$D147&lt;&gt;""</formula>
    </cfRule>
  </conditionalFormatting>
  <conditionalFormatting sqref="C148">
    <cfRule type="expression" dxfId="27" priority="27">
      <formula>$D147&lt;&gt;""</formula>
    </cfRule>
  </conditionalFormatting>
  <conditionalFormatting sqref="C149">
    <cfRule type="expression" dxfId="26" priority="26">
      <formula>$D148&lt;&gt;""</formula>
    </cfRule>
  </conditionalFormatting>
  <conditionalFormatting sqref="C146">
    <cfRule type="expression" dxfId="25" priority="32">
      <formula>#REF!&lt;&gt;""</formula>
    </cfRule>
  </conditionalFormatting>
  <conditionalFormatting sqref="G150:G151">
    <cfRule type="expression" dxfId="24" priority="21">
      <formula>$D149&lt;&gt;""</formula>
    </cfRule>
  </conditionalFormatting>
  <conditionalFormatting sqref="G155:G159">
    <cfRule type="expression" dxfId="23" priority="24">
      <formula>$D155&lt;&gt;""</formula>
    </cfRule>
  </conditionalFormatting>
  <conditionalFormatting sqref="E147:F147">
    <cfRule type="expression" dxfId="22" priority="23">
      <formula>$D146&lt;&gt;""</formula>
    </cfRule>
  </conditionalFormatting>
  <conditionalFormatting sqref="E148:F148">
    <cfRule type="expression" dxfId="21" priority="22">
      <formula>$D147&lt;&gt;""</formula>
    </cfRule>
  </conditionalFormatting>
  <conditionalFormatting sqref="G148">
    <cfRule type="expression" dxfId="20" priority="20">
      <formula>$D147&lt;&gt;""</formula>
    </cfRule>
  </conditionalFormatting>
  <conditionalFormatting sqref="G149">
    <cfRule type="expression" dxfId="19" priority="19">
      <formula>$D148&lt;&gt;""</formula>
    </cfRule>
  </conditionalFormatting>
  <conditionalFormatting sqref="G146">
    <cfRule type="expression" dxfId="18" priority="25">
      <formula>#REF!&lt;&gt;""</formula>
    </cfRule>
  </conditionalFormatting>
  <conditionalFormatting sqref="K150:K151">
    <cfRule type="expression" dxfId="17" priority="14">
      <formula>$D149&lt;&gt;""</formula>
    </cfRule>
  </conditionalFormatting>
  <conditionalFormatting sqref="K155:K159">
    <cfRule type="expression" dxfId="16" priority="17">
      <formula>$D155&lt;&gt;""</formula>
    </cfRule>
  </conditionalFormatting>
  <conditionalFormatting sqref="I147:J147">
    <cfRule type="expression" dxfId="15" priority="16">
      <formula>$D146&lt;&gt;""</formula>
    </cfRule>
  </conditionalFormatting>
  <conditionalFormatting sqref="I148:J148">
    <cfRule type="expression" dxfId="14" priority="15">
      <formula>$D147&lt;&gt;""</formula>
    </cfRule>
  </conditionalFormatting>
  <conditionalFormatting sqref="K148">
    <cfRule type="expression" dxfId="13" priority="13">
      <formula>$D147&lt;&gt;""</formula>
    </cfRule>
  </conditionalFormatting>
  <conditionalFormatting sqref="K149">
    <cfRule type="expression" dxfId="12" priority="12">
      <formula>$D148&lt;&gt;""</formula>
    </cfRule>
  </conditionalFormatting>
  <conditionalFormatting sqref="K146">
    <cfRule type="expression" dxfId="11" priority="18">
      <formula>#REF!&lt;&gt;""</formula>
    </cfRule>
  </conditionalFormatting>
  <conditionalFormatting sqref="O150:O151">
    <cfRule type="expression" dxfId="10" priority="7">
      <formula>$D149&lt;&gt;""</formula>
    </cfRule>
  </conditionalFormatting>
  <conditionalFormatting sqref="O155:O159">
    <cfRule type="expression" dxfId="9" priority="10">
      <formula>$D155&lt;&gt;""</formula>
    </cfRule>
  </conditionalFormatting>
  <conditionalFormatting sqref="M147:N147">
    <cfRule type="expression" dxfId="8" priority="9">
      <formula>$D146&lt;&gt;""</formula>
    </cfRule>
  </conditionalFormatting>
  <conditionalFormatting sqref="M148:N148">
    <cfRule type="expression" dxfId="7" priority="8">
      <formula>$D147&lt;&gt;""</formula>
    </cfRule>
  </conditionalFormatting>
  <conditionalFormatting sqref="O148">
    <cfRule type="expression" dxfId="6" priority="6">
      <formula>$D147&lt;&gt;""</formula>
    </cfRule>
  </conditionalFormatting>
  <conditionalFormatting sqref="O149">
    <cfRule type="expression" dxfId="5" priority="5">
      <formula>$D148&lt;&gt;""</formula>
    </cfRule>
  </conditionalFormatting>
  <conditionalFormatting sqref="O146">
    <cfRule type="expression" dxfId="4" priority="11">
      <formula>#REF!&lt;&gt;""</formula>
    </cfRule>
  </conditionalFormatting>
  <conditionalFormatting sqref="C147">
    <cfRule type="expression" dxfId="3" priority="4">
      <formula>$D146&lt;&gt;""</formula>
    </cfRule>
  </conditionalFormatting>
  <conditionalFormatting sqref="G147">
    <cfRule type="expression" dxfId="2" priority="3">
      <formula>$D146&lt;&gt;""</formula>
    </cfRule>
  </conditionalFormatting>
  <conditionalFormatting sqref="K147">
    <cfRule type="expression" dxfId="1" priority="2">
      <formula>$D146&lt;&gt;""</formula>
    </cfRule>
  </conditionalFormatting>
  <conditionalFormatting sqref="O147">
    <cfRule type="expression" dxfId="0" priority="1">
      <formula>$D146&lt;&gt;""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90C5B-62B4-4DBB-98A5-BEEB61841630}">
  <dimension ref="A1:E413"/>
  <sheetViews>
    <sheetView topLeftCell="A94" workbookViewId="0">
      <selection activeCell="F121" sqref="F121"/>
    </sheetView>
  </sheetViews>
  <sheetFormatPr defaultRowHeight="15" x14ac:dyDescent="0.25"/>
  <cols>
    <col min="1" max="1" width="10.7109375" style="33" bestFit="1" customWidth="1"/>
    <col min="2" max="2" width="27.28515625" bestFit="1" customWidth="1"/>
    <col min="3" max="3" width="9.7109375" bestFit="1" customWidth="1"/>
    <col min="6" max="6" width="27.28515625" bestFit="1" customWidth="1"/>
  </cols>
  <sheetData>
    <row r="1" spans="1:5" x14ac:dyDescent="0.25">
      <c r="A1" s="33" t="s">
        <v>97</v>
      </c>
      <c r="B1" t="s">
        <v>98</v>
      </c>
      <c r="C1" t="s">
        <v>99</v>
      </c>
      <c r="E1">
        <f>SUM(C:C)</f>
        <v>-23011.58</v>
      </c>
    </row>
    <row r="2" spans="1:5" x14ac:dyDescent="0.25">
      <c r="A2" s="33">
        <v>45046</v>
      </c>
      <c r="B2" t="s">
        <v>116</v>
      </c>
      <c r="C2">
        <v>-33.340000000000003</v>
      </c>
    </row>
    <row r="3" spans="1:5" x14ac:dyDescent="0.25">
      <c r="A3" s="33">
        <v>45046</v>
      </c>
      <c r="B3" t="s">
        <v>120</v>
      </c>
      <c r="C3">
        <v>-170</v>
      </c>
    </row>
    <row r="4" spans="1:5" x14ac:dyDescent="0.25">
      <c r="A4" s="33">
        <v>45046</v>
      </c>
      <c r="B4" t="s">
        <v>121</v>
      </c>
      <c r="C4">
        <v>-99</v>
      </c>
    </row>
    <row r="5" spans="1:5" x14ac:dyDescent="0.25">
      <c r="A5" s="33">
        <v>45047</v>
      </c>
      <c r="B5" t="s">
        <v>124</v>
      </c>
      <c r="C5">
        <v>-387.81</v>
      </c>
    </row>
    <row r="6" spans="1:5" x14ac:dyDescent="0.25">
      <c r="A6" s="33">
        <v>45047</v>
      </c>
      <c r="B6" t="s">
        <v>127</v>
      </c>
      <c r="C6">
        <v>-356.08</v>
      </c>
    </row>
    <row r="7" spans="1:5" x14ac:dyDescent="0.25">
      <c r="A7" s="33">
        <v>45047</v>
      </c>
      <c r="B7" t="s">
        <v>128</v>
      </c>
      <c r="C7">
        <v>-19.989999999999998</v>
      </c>
    </row>
    <row r="8" spans="1:5" x14ac:dyDescent="0.25">
      <c r="A8" s="33">
        <v>45048</v>
      </c>
      <c r="B8" t="s">
        <v>124</v>
      </c>
      <c r="C8">
        <v>-581.72</v>
      </c>
    </row>
    <row r="9" spans="1:5" x14ac:dyDescent="0.25">
      <c r="A9" s="33">
        <v>45075</v>
      </c>
      <c r="B9" t="s">
        <v>146</v>
      </c>
      <c r="C9">
        <v>-2762.92</v>
      </c>
    </row>
    <row r="10" spans="1:5" x14ac:dyDescent="0.25">
      <c r="A10" s="33">
        <v>45076</v>
      </c>
      <c r="B10" t="s">
        <v>147</v>
      </c>
      <c r="C10">
        <v>-2060.08</v>
      </c>
    </row>
    <row r="11" spans="1:5" x14ac:dyDescent="0.25">
      <c r="A11" s="33">
        <v>45076</v>
      </c>
      <c r="B11" t="s">
        <v>125</v>
      </c>
      <c r="C11">
        <v>-33.340000000000003</v>
      </c>
    </row>
    <row r="12" spans="1:5" x14ac:dyDescent="0.25">
      <c r="A12" s="33">
        <v>45078</v>
      </c>
      <c r="B12" t="s">
        <v>117</v>
      </c>
      <c r="C12">
        <v>-387.81</v>
      </c>
    </row>
    <row r="13" spans="1:5" x14ac:dyDescent="0.25">
      <c r="A13" s="33">
        <v>45078</v>
      </c>
      <c r="B13" t="s">
        <v>122</v>
      </c>
      <c r="C13">
        <v>-356.08</v>
      </c>
    </row>
    <row r="14" spans="1:5" x14ac:dyDescent="0.25">
      <c r="A14" s="33">
        <v>45079</v>
      </c>
      <c r="B14" t="s">
        <v>117</v>
      </c>
      <c r="C14">
        <v>-581.72</v>
      </c>
    </row>
    <row r="15" spans="1:5" x14ac:dyDescent="0.25">
      <c r="A15" s="33">
        <v>45084</v>
      </c>
      <c r="B15" t="s">
        <v>31</v>
      </c>
      <c r="C15">
        <v>2000</v>
      </c>
    </row>
    <row r="16" spans="1:5" x14ac:dyDescent="0.25">
      <c r="A16" s="33">
        <v>45084</v>
      </c>
      <c r="B16" t="s">
        <v>32</v>
      </c>
      <c r="C16">
        <v>2000</v>
      </c>
    </row>
    <row r="17" spans="1:3" x14ac:dyDescent="0.25">
      <c r="A17" s="33">
        <v>45086</v>
      </c>
      <c r="B17" t="s">
        <v>31</v>
      </c>
      <c r="C17">
        <v>1000</v>
      </c>
    </row>
    <row r="18" spans="1:3" x14ac:dyDescent="0.25">
      <c r="A18" s="33">
        <v>45106</v>
      </c>
      <c r="B18" t="s">
        <v>88</v>
      </c>
      <c r="C18">
        <v>-2762.92</v>
      </c>
    </row>
    <row r="19" spans="1:3" x14ac:dyDescent="0.25">
      <c r="A19" s="33">
        <v>45107</v>
      </c>
      <c r="B19" t="s">
        <v>149</v>
      </c>
      <c r="C19">
        <v>2000</v>
      </c>
    </row>
    <row r="20" spans="1:3" x14ac:dyDescent="0.25">
      <c r="A20" s="33">
        <v>45107</v>
      </c>
      <c r="B20" t="s">
        <v>42</v>
      </c>
      <c r="C20">
        <v>-2060.08</v>
      </c>
    </row>
    <row r="21" spans="1:3" x14ac:dyDescent="0.25">
      <c r="A21" s="33">
        <v>45107</v>
      </c>
      <c r="B21" t="s">
        <v>126</v>
      </c>
      <c r="C21">
        <v>-33.340000000000003</v>
      </c>
    </row>
    <row r="22" spans="1:3" x14ac:dyDescent="0.25">
      <c r="A22" s="33">
        <v>45108</v>
      </c>
      <c r="B22" t="s">
        <v>118</v>
      </c>
      <c r="C22">
        <v>-387.81</v>
      </c>
    </row>
    <row r="23" spans="1:3" x14ac:dyDescent="0.25">
      <c r="A23" s="33">
        <v>45108</v>
      </c>
      <c r="B23" t="s">
        <v>123</v>
      </c>
      <c r="C23">
        <v>-356.08</v>
      </c>
    </row>
    <row r="24" spans="1:3" x14ac:dyDescent="0.25">
      <c r="A24" s="33">
        <v>45109</v>
      </c>
      <c r="B24" t="s">
        <v>118</v>
      </c>
      <c r="C24">
        <v>-581.72</v>
      </c>
    </row>
    <row r="25" spans="1:3" x14ac:dyDescent="0.25">
      <c r="A25" s="33">
        <v>45113</v>
      </c>
      <c r="B25" t="s">
        <v>31</v>
      </c>
      <c r="C25">
        <v>2000</v>
      </c>
    </row>
    <row r="26" spans="1:3" x14ac:dyDescent="0.25">
      <c r="A26" s="33">
        <v>45114</v>
      </c>
      <c r="B26" t="s">
        <v>31</v>
      </c>
      <c r="C26">
        <v>1800</v>
      </c>
    </row>
    <row r="27" spans="1:3" x14ac:dyDescent="0.25">
      <c r="A27" s="33">
        <v>45117</v>
      </c>
      <c r="B27" t="s">
        <v>31</v>
      </c>
      <c r="C27">
        <v>1000</v>
      </c>
    </row>
    <row r="28" spans="1:3" x14ac:dyDescent="0.25">
      <c r="A28" s="33">
        <v>45136</v>
      </c>
      <c r="B28" t="s">
        <v>43</v>
      </c>
      <c r="C28">
        <v>-2060.08</v>
      </c>
    </row>
    <row r="29" spans="1:3" x14ac:dyDescent="0.25">
      <c r="A29" s="33">
        <v>45137</v>
      </c>
      <c r="B29" t="s">
        <v>89</v>
      </c>
      <c r="C29">
        <v>-2762.92</v>
      </c>
    </row>
    <row r="30" spans="1:3" x14ac:dyDescent="0.25">
      <c r="A30" s="33">
        <v>45139</v>
      </c>
      <c r="B30" t="s">
        <v>119</v>
      </c>
      <c r="C30">
        <v>-356.08</v>
      </c>
    </row>
    <row r="31" spans="1:3" x14ac:dyDescent="0.25">
      <c r="A31" s="33">
        <v>45140</v>
      </c>
      <c r="B31" t="s">
        <v>31</v>
      </c>
      <c r="C31">
        <v>1300</v>
      </c>
    </row>
    <row r="32" spans="1:3" x14ac:dyDescent="0.25">
      <c r="A32" s="33">
        <v>45140</v>
      </c>
      <c r="B32" t="s">
        <v>149</v>
      </c>
      <c r="C32">
        <v>2000</v>
      </c>
    </row>
    <row r="33" spans="1:3" x14ac:dyDescent="0.25">
      <c r="A33" s="33">
        <v>45141</v>
      </c>
      <c r="B33" t="s">
        <v>31</v>
      </c>
      <c r="C33">
        <v>1944</v>
      </c>
    </row>
    <row r="34" spans="1:3" x14ac:dyDescent="0.25">
      <c r="A34" s="33">
        <v>45142</v>
      </c>
      <c r="B34" t="s">
        <v>31</v>
      </c>
      <c r="C34">
        <v>1000</v>
      </c>
    </row>
    <row r="35" spans="1:3" x14ac:dyDescent="0.25">
      <c r="A35" s="33">
        <v>45149</v>
      </c>
      <c r="B35" t="s">
        <v>31</v>
      </c>
      <c r="C35">
        <v>500</v>
      </c>
    </row>
    <row r="36" spans="1:3" x14ac:dyDescent="0.25">
      <c r="A36" s="33">
        <v>45167</v>
      </c>
      <c r="B36" t="s">
        <v>44</v>
      </c>
      <c r="C36">
        <v>-2060.08</v>
      </c>
    </row>
    <row r="37" spans="1:3" x14ac:dyDescent="0.25">
      <c r="A37" s="33">
        <v>45168</v>
      </c>
      <c r="B37" t="s">
        <v>90</v>
      </c>
      <c r="C37">
        <v>-2762.92</v>
      </c>
    </row>
    <row r="38" spans="1:3" x14ac:dyDescent="0.25">
      <c r="A38" s="33">
        <v>45170</v>
      </c>
      <c r="B38" t="s">
        <v>148</v>
      </c>
      <c r="C38">
        <v>5000</v>
      </c>
    </row>
    <row r="39" spans="1:3" x14ac:dyDescent="0.25">
      <c r="A39" s="33">
        <v>45177</v>
      </c>
      <c r="B39" t="s">
        <v>31</v>
      </c>
      <c r="C39">
        <v>800</v>
      </c>
    </row>
    <row r="40" spans="1:3" x14ac:dyDescent="0.25">
      <c r="A40" s="33">
        <v>45198</v>
      </c>
      <c r="B40" t="s">
        <v>45</v>
      </c>
      <c r="C40">
        <v>-2060.08</v>
      </c>
    </row>
    <row r="41" spans="1:3" x14ac:dyDescent="0.25">
      <c r="A41" s="33">
        <v>45199</v>
      </c>
      <c r="B41" t="s">
        <v>91</v>
      </c>
      <c r="C41">
        <v>-2762.92</v>
      </c>
    </row>
    <row r="42" spans="1:3" x14ac:dyDescent="0.25">
      <c r="A42" s="33">
        <v>45199</v>
      </c>
      <c r="B42" t="s">
        <v>132</v>
      </c>
      <c r="C42">
        <v>-356.08</v>
      </c>
    </row>
    <row r="43" spans="1:3" x14ac:dyDescent="0.25">
      <c r="A43" s="33">
        <v>45203</v>
      </c>
      <c r="B43" t="s">
        <v>148</v>
      </c>
      <c r="C43">
        <v>1000</v>
      </c>
    </row>
    <row r="44" spans="1:3" x14ac:dyDescent="0.25">
      <c r="A44" s="33">
        <v>45205</v>
      </c>
      <c r="B44" t="s">
        <v>31</v>
      </c>
      <c r="C44">
        <v>1955</v>
      </c>
    </row>
    <row r="45" spans="1:3" x14ac:dyDescent="0.25">
      <c r="A45" s="33">
        <v>45206</v>
      </c>
      <c r="B45" t="s">
        <v>31</v>
      </c>
      <c r="C45">
        <v>2000</v>
      </c>
    </row>
    <row r="46" spans="1:3" x14ac:dyDescent="0.25">
      <c r="A46" s="33">
        <v>45228</v>
      </c>
      <c r="B46" t="s">
        <v>46</v>
      </c>
      <c r="C46">
        <v>-2060.08</v>
      </c>
    </row>
    <row r="47" spans="1:3" x14ac:dyDescent="0.25">
      <c r="A47" s="33">
        <v>45229</v>
      </c>
      <c r="B47" t="s">
        <v>92</v>
      </c>
      <c r="C47">
        <v>-2762.92</v>
      </c>
    </row>
    <row r="48" spans="1:3" x14ac:dyDescent="0.25">
      <c r="A48" s="33">
        <v>45237</v>
      </c>
      <c r="B48" t="s">
        <v>138</v>
      </c>
      <c r="C48">
        <v>1000</v>
      </c>
    </row>
    <row r="49" spans="1:3" x14ac:dyDescent="0.25">
      <c r="A49" s="33">
        <v>45238</v>
      </c>
      <c r="B49" t="s">
        <v>138</v>
      </c>
      <c r="C49">
        <v>2000</v>
      </c>
    </row>
    <row r="50" spans="1:3" x14ac:dyDescent="0.25">
      <c r="A50" s="33">
        <v>45239</v>
      </c>
      <c r="B50" t="s">
        <v>138</v>
      </c>
      <c r="C50">
        <v>1500</v>
      </c>
    </row>
    <row r="51" spans="1:3" x14ac:dyDescent="0.25">
      <c r="A51" s="33">
        <v>45259</v>
      </c>
      <c r="B51" t="s">
        <v>47</v>
      </c>
      <c r="C51">
        <v>-2060.08</v>
      </c>
    </row>
    <row r="52" spans="1:3" x14ac:dyDescent="0.25">
      <c r="A52" s="33">
        <v>45260</v>
      </c>
      <c r="B52" t="s">
        <v>93</v>
      </c>
      <c r="C52">
        <v>-2762.92</v>
      </c>
    </row>
    <row r="53" spans="1:3" x14ac:dyDescent="0.25">
      <c r="A53" s="33">
        <v>45269</v>
      </c>
      <c r="B53" t="s">
        <v>31</v>
      </c>
      <c r="C53">
        <v>1950</v>
      </c>
    </row>
    <row r="54" spans="1:3" x14ac:dyDescent="0.25">
      <c r="A54" s="33">
        <v>45272</v>
      </c>
      <c r="B54" t="s">
        <v>31</v>
      </c>
      <c r="C54">
        <v>500</v>
      </c>
    </row>
    <row r="55" spans="1:3" x14ac:dyDescent="0.25">
      <c r="A55" s="33">
        <v>45288</v>
      </c>
      <c r="B55" t="s">
        <v>31</v>
      </c>
      <c r="C55">
        <v>1500</v>
      </c>
    </row>
    <row r="56" spans="1:3" x14ac:dyDescent="0.25">
      <c r="A56" s="33">
        <v>45289</v>
      </c>
      <c r="B56" t="s">
        <v>48</v>
      </c>
      <c r="C56">
        <v>-2060.08</v>
      </c>
    </row>
    <row r="57" spans="1:3" x14ac:dyDescent="0.25">
      <c r="A57" s="33">
        <v>45290</v>
      </c>
      <c r="B57" t="s">
        <v>94</v>
      </c>
      <c r="C57">
        <v>-2762.92</v>
      </c>
    </row>
    <row r="58" spans="1:3" x14ac:dyDescent="0.25">
      <c r="A58" s="33">
        <v>45293</v>
      </c>
      <c r="B58" t="s">
        <v>31</v>
      </c>
      <c r="C58">
        <v>500</v>
      </c>
    </row>
    <row r="59" spans="1:3" x14ac:dyDescent="0.25">
      <c r="A59" s="33">
        <v>45303</v>
      </c>
      <c r="B59" t="s">
        <v>31</v>
      </c>
      <c r="C59">
        <v>2000</v>
      </c>
    </row>
    <row r="60" spans="1:3" x14ac:dyDescent="0.25">
      <c r="A60" s="33">
        <v>45310</v>
      </c>
      <c r="B60" t="s">
        <v>31</v>
      </c>
      <c r="C60">
        <v>2000</v>
      </c>
    </row>
    <row r="61" spans="1:3" x14ac:dyDescent="0.25">
      <c r="A61" s="33">
        <v>45311</v>
      </c>
      <c r="B61" t="s">
        <v>31</v>
      </c>
      <c r="C61">
        <v>500</v>
      </c>
    </row>
    <row r="62" spans="1:3" x14ac:dyDescent="0.25">
      <c r="A62" s="33">
        <v>45320</v>
      </c>
      <c r="B62" t="s">
        <v>49</v>
      </c>
      <c r="C62">
        <v>-2060.08</v>
      </c>
    </row>
    <row r="63" spans="1:3" x14ac:dyDescent="0.25">
      <c r="A63" s="33">
        <v>45321</v>
      </c>
      <c r="B63" t="s">
        <v>95</v>
      </c>
      <c r="C63">
        <v>-2762.92</v>
      </c>
    </row>
    <row r="64" spans="1:3" x14ac:dyDescent="0.25">
      <c r="A64" s="33">
        <v>45331</v>
      </c>
      <c r="B64" t="s">
        <v>31</v>
      </c>
      <c r="C64">
        <v>1413</v>
      </c>
    </row>
    <row r="65" spans="1:3" x14ac:dyDescent="0.25">
      <c r="A65" s="33">
        <v>45334</v>
      </c>
      <c r="B65" t="s">
        <v>31</v>
      </c>
      <c r="C65">
        <v>500</v>
      </c>
    </row>
    <row r="66" spans="1:3" x14ac:dyDescent="0.25">
      <c r="A66" s="33">
        <v>45346</v>
      </c>
      <c r="B66" t="s">
        <v>31</v>
      </c>
      <c r="C66">
        <v>1500</v>
      </c>
    </row>
    <row r="67" spans="1:3" x14ac:dyDescent="0.25">
      <c r="A67" s="33">
        <v>45351</v>
      </c>
      <c r="B67" t="s">
        <v>31</v>
      </c>
      <c r="C67">
        <v>2000</v>
      </c>
    </row>
    <row r="68" spans="1:3" x14ac:dyDescent="0.25">
      <c r="A68" s="33">
        <v>45351</v>
      </c>
      <c r="B68" t="s">
        <v>143</v>
      </c>
      <c r="C68">
        <v>-2762.92</v>
      </c>
    </row>
    <row r="69" spans="1:3" x14ac:dyDescent="0.25">
      <c r="A69" s="33">
        <v>45351</v>
      </c>
      <c r="B69" t="s">
        <v>50</v>
      </c>
      <c r="C69">
        <v>-2060.08</v>
      </c>
    </row>
    <row r="70" spans="1:3" x14ac:dyDescent="0.25">
      <c r="A70" s="33">
        <v>45369</v>
      </c>
      <c r="B70" t="s">
        <v>144</v>
      </c>
      <c r="C70">
        <v>500</v>
      </c>
    </row>
    <row r="71" spans="1:3" x14ac:dyDescent="0.25">
      <c r="A71" s="33">
        <v>45376</v>
      </c>
      <c r="B71" t="s">
        <v>144</v>
      </c>
      <c r="C71">
        <v>1800</v>
      </c>
    </row>
    <row r="72" spans="1:3" x14ac:dyDescent="0.25">
      <c r="A72" s="33">
        <v>45380</v>
      </c>
      <c r="B72" t="s">
        <v>51</v>
      </c>
      <c r="C72">
        <v>-2060.08</v>
      </c>
    </row>
    <row r="73" spans="1:3" x14ac:dyDescent="0.25">
      <c r="A73" s="33">
        <v>45387</v>
      </c>
      <c r="B73" t="s">
        <v>144</v>
      </c>
      <c r="C73">
        <v>1000</v>
      </c>
    </row>
    <row r="74" spans="1:3" x14ac:dyDescent="0.25">
      <c r="A74" s="33">
        <v>45388</v>
      </c>
      <c r="B74" t="s">
        <v>144</v>
      </c>
      <c r="C74">
        <v>1000</v>
      </c>
    </row>
    <row r="75" spans="1:3" x14ac:dyDescent="0.25">
      <c r="A75" s="33">
        <v>45411</v>
      </c>
      <c r="B75" t="s">
        <v>52</v>
      </c>
      <c r="C75">
        <v>-2060.08</v>
      </c>
    </row>
    <row r="76" spans="1:3" x14ac:dyDescent="0.25">
      <c r="A76" s="33">
        <v>45412</v>
      </c>
      <c r="B76" t="s">
        <v>144</v>
      </c>
      <c r="C76">
        <v>1000</v>
      </c>
    </row>
    <row r="77" spans="1:3" x14ac:dyDescent="0.25">
      <c r="A77" s="33">
        <v>45421</v>
      </c>
      <c r="B77" t="s">
        <v>145</v>
      </c>
      <c r="C77">
        <v>2000</v>
      </c>
    </row>
    <row r="78" spans="1:3" x14ac:dyDescent="0.25">
      <c r="A78" s="33">
        <v>45441</v>
      </c>
      <c r="B78" t="s">
        <v>53</v>
      </c>
      <c r="C78">
        <v>-2060.08</v>
      </c>
    </row>
    <row r="79" spans="1:3" x14ac:dyDescent="0.25">
      <c r="A79" s="33">
        <v>45450</v>
      </c>
      <c r="B79" t="s">
        <v>145</v>
      </c>
      <c r="C79">
        <v>2000</v>
      </c>
    </row>
    <row r="80" spans="1:3" x14ac:dyDescent="0.25">
      <c r="A80" s="33">
        <v>45472</v>
      </c>
      <c r="B80" t="s">
        <v>54</v>
      </c>
      <c r="C80">
        <v>-2060.08</v>
      </c>
    </row>
    <row r="81" spans="1:3" x14ac:dyDescent="0.25">
      <c r="A81" s="33">
        <v>45477</v>
      </c>
      <c r="B81" t="s">
        <v>144</v>
      </c>
      <c r="C81">
        <v>2000</v>
      </c>
    </row>
    <row r="82" spans="1:3" x14ac:dyDescent="0.25">
      <c r="A82" s="33">
        <v>45502</v>
      </c>
      <c r="B82" t="s">
        <v>55</v>
      </c>
      <c r="C82">
        <v>-2060.08</v>
      </c>
    </row>
    <row r="83" spans="1:3" x14ac:dyDescent="0.25">
      <c r="A83" s="33">
        <v>45516</v>
      </c>
      <c r="B83" t="s">
        <v>144</v>
      </c>
      <c r="C83">
        <v>500</v>
      </c>
    </row>
    <row r="84" spans="1:3" x14ac:dyDescent="0.25">
      <c r="A84" s="33">
        <v>45518</v>
      </c>
      <c r="B84" t="s">
        <v>144</v>
      </c>
      <c r="C84">
        <v>2000</v>
      </c>
    </row>
    <row r="85" spans="1:3" x14ac:dyDescent="0.25">
      <c r="A85" s="33">
        <v>45533</v>
      </c>
      <c r="B85" t="s">
        <v>56</v>
      </c>
      <c r="C85">
        <v>-2060.08</v>
      </c>
    </row>
    <row r="86" spans="1:3" x14ac:dyDescent="0.25">
      <c r="A86" s="33">
        <v>45534</v>
      </c>
      <c r="B86" t="s">
        <v>144</v>
      </c>
      <c r="C86">
        <v>1500</v>
      </c>
    </row>
    <row r="87" spans="1:3" x14ac:dyDescent="0.25">
      <c r="A87" s="33">
        <v>45551</v>
      </c>
      <c r="B87" t="s">
        <v>144</v>
      </c>
      <c r="C87">
        <v>500</v>
      </c>
    </row>
    <row r="88" spans="1:3" x14ac:dyDescent="0.25">
      <c r="A88" s="33">
        <v>45564</v>
      </c>
      <c r="B88" t="s">
        <v>57</v>
      </c>
      <c r="C88">
        <v>-2060.08</v>
      </c>
    </row>
    <row r="89" spans="1:3" x14ac:dyDescent="0.25">
      <c r="A89" s="33">
        <v>45571</v>
      </c>
      <c r="B89" t="s">
        <v>144</v>
      </c>
      <c r="C89">
        <v>2000</v>
      </c>
    </row>
    <row r="90" spans="1:3" x14ac:dyDescent="0.25">
      <c r="A90" s="33">
        <v>45572</v>
      </c>
      <c r="B90" t="s">
        <v>144</v>
      </c>
      <c r="C90">
        <v>607</v>
      </c>
    </row>
    <row r="91" spans="1:3" x14ac:dyDescent="0.25">
      <c r="A91" s="33">
        <v>45594</v>
      </c>
      <c r="B91" t="s">
        <v>58</v>
      </c>
      <c r="C91">
        <v>-2060.08</v>
      </c>
    </row>
    <row r="92" spans="1:3" x14ac:dyDescent="0.25">
      <c r="A92" s="33">
        <v>45595</v>
      </c>
      <c r="B92" t="s">
        <v>150</v>
      </c>
      <c r="C92">
        <v>1900</v>
      </c>
    </row>
    <row r="93" spans="1:3" x14ac:dyDescent="0.25">
      <c r="A93" s="33">
        <v>45595</v>
      </c>
      <c r="B93" t="s">
        <v>151</v>
      </c>
      <c r="C93">
        <v>170</v>
      </c>
    </row>
    <row r="94" spans="1:3" x14ac:dyDescent="0.25">
      <c r="A94" s="33">
        <v>45625</v>
      </c>
      <c r="B94" t="s">
        <v>59</v>
      </c>
      <c r="C94">
        <v>-2060.08</v>
      </c>
    </row>
    <row r="95" spans="1:3" x14ac:dyDescent="0.25">
      <c r="A95" s="33">
        <v>45628</v>
      </c>
      <c r="B95" t="s">
        <v>144</v>
      </c>
      <c r="C95">
        <v>2000</v>
      </c>
    </row>
    <row r="96" spans="1:3" x14ac:dyDescent="0.25">
      <c r="A96" s="33">
        <v>45655</v>
      </c>
      <c r="B96" t="s">
        <v>60</v>
      </c>
      <c r="C96">
        <v>-2060.08</v>
      </c>
    </row>
    <row r="97" spans="1:3" x14ac:dyDescent="0.25">
      <c r="A97" s="33">
        <v>45656</v>
      </c>
      <c r="B97" t="s">
        <v>144</v>
      </c>
      <c r="C97">
        <v>2060</v>
      </c>
    </row>
    <row r="98" spans="1:3" x14ac:dyDescent="0.25">
      <c r="A98" s="33">
        <v>45686</v>
      </c>
      <c r="B98" t="s">
        <v>61</v>
      </c>
      <c r="C98">
        <v>-2060.08</v>
      </c>
    </row>
    <row r="99" spans="1:3" x14ac:dyDescent="0.25">
      <c r="A99" s="33">
        <v>45686</v>
      </c>
      <c r="B99" t="s">
        <v>144</v>
      </c>
      <c r="C99">
        <v>2060</v>
      </c>
    </row>
    <row r="100" spans="1:3" x14ac:dyDescent="0.25">
      <c r="A100" s="33">
        <v>45717</v>
      </c>
      <c r="B100" t="s">
        <v>62</v>
      </c>
      <c r="C100">
        <v>-2060.08</v>
      </c>
    </row>
    <row r="101" spans="1:3" x14ac:dyDescent="0.25">
      <c r="A101" s="33">
        <v>45718</v>
      </c>
      <c r="B101" t="s">
        <v>144</v>
      </c>
      <c r="C101">
        <v>2060</v>
      </c>
    </row>
    <row r="102" spans="1:3" x14ac:dyDescent="0.25">
      <c r="A102" s="33">
        <v>45745</v>
      </c>
      <c r="B102" t="s">
        <v>63</v>
      </c>
      <c r="C102">
        <v>-2060.08</v>
      </c>
    </row>
    <row r="103" spans="1:3" x14ac:dyDescent="0.25">
      <c r="A103" s="33">
        <v>45745</v>
      </c>
      <c r="B103" t="s">
        <v>144</v>
      </c>
      <c r="C103">
        <v>2060</v>
      </c>
    </row>
    <row r="104" spans="1:3" x14ac:dyDescent="0.25">
      <c r="A104" s="33">
        <v>45776</v>
      </c>
      <c r="B104" t="s">
        <v>64</v>
      </c>
      <c r="C104">
        <v>-2060.08</v>
      </c>
    </row>
    <row r="105" spans="1:3" x14ac:dyDescent="0.25">
      <c r="A105" s="33">
        <v>45777</v>
      </c>
      <c r="B105" t="s">
        <v>153</v>
      </c>
      <c r="C105">
        <v>200</v>
      </c>
    </row>
    <row r="106" spans="1:3" x14ac:dyDescent="0.25">
      <c r="A106" s="33">
        <v>45779</v>
      </c>
      <c r="B106" t="s">
        <v>144</v>
      </c>
      <c r="C106">
        <v>2060</v>
      </c>
    </row>
    <row r="107" spans="1:3" x14ac:dyDescent="0.25">
      <c r="A107" s="33">
        <v>45806</v>
      </c>
      <c r="B107" t="s">
        <v>65</v>
      </c>
      <c r="C107">
        <v>-2060.08</v>
      </c>
    </row>
    <row r="108" spans="1:3" x14ac:dyDescent="0.25">
      <c r="A108" s="33">
        <v>45806</v>
      </c>
      <c r="B108" t="s">
        <v>144</v>
      </c>
      <c r="C108">
        <v>1000</v>
      </c>
    </row>
    <row r="109" spans="1:3" x14ac:dyDescent="0.25">
      <c r="A109" s="33">
        <v>45808</v>
      </c>
      <c r="B109" t="s">
        <v>144</v>
      </c>
      <c r="C109">
        <v>1060</v>
      </c>
    </row>
    <row r="110" spans="1:3" x14ac:dyDescent="0.25">
      <c r="A110" s="33">
        <v>45835</v>
      </c>
      <c r="B110" t="s">
        <v>66</v>
      </c>
      <c r="C110">
        <v>-2060.08</v>
      </c>
    </row>
    <row r="111" spans="1:3" x14ac:dyDescent="0.25">
      <c r="A111" s="33">
        <v>45863</v>
      </c>
      <c r="B111" t="s">
        <v>67</v>
      </c>
      <c r="C111">
        <v>-2060.08</v>
      </c>
    </row>
    <row r="112" spans="1:3" x14ac:dyDescent="0.25">
      <c r="A112" s="33">
        <v>45898</v>
      </c>
      <c r="B112" t="s">
        <v>68</v>
      </c>
      <c r="C112">
        <v>-2060.08</v>
      </c>
    </row>
    <row r="113" spans="1:3" x14ac:dyDescent="0.25">
      <c r="A113" s="33" t="s">
        <v>156</v>
      </c>
      <c r="B113" t="s">
        <v>69</v>
      </c>
      <c r="C113">
        <v>-2060.08</v>
      </c>
    </row>
    <row r="114" spans="1:3" x14ac:dyDescent="0.25">
      <c r="A114" s="33" t="s">
        <v>157</v>
      </c>
      <c r="B114" t="s">
        <v>70</v>
      </c>
      <c r="C114">
        <v>-2060.08</v>
      </c>
    </row>
    <row r="115" spans="1:3" x14ac:dyDescent="0.25">
      <c r="A115" s="33" t="s">
        <v>158</v>
      </c>
      <c r="B115" t="s">
        <v>71</v>
      </c>
      <c r="C115">
        <v>-2060.08</v>
      </c>
    </row>
    <row r="116" spans="1:3" x14ac:dyDescent="0.25">
      <c r="A116" s="33" t="s">
        <v>159</v>
      </c>
      <c r="B116" t="s">
        <v>72</v>
      </c>
      <c r="C116">
        <v>-2060.08</v>
      </c>
    </row>
    <row r="117" spans="1:3" x14ac:dyDescent="0.25">
      <c r="A117" s="33" t="s">
        <v>160</v>
      </c>
      <c r="B117" t="s">
        <v>73</v>
      </c>
      <c r="C117">
        <v>-2060.08</v>
      </c>
    </row>
    <row r="118" spans="1:3" x14ac:dyDescent="0.25">
      <c r="A118" s="33" t="s">
        <v>161</v>
      </c>
      <c r="B118" t="s">
        <v>74</v>
      </c>
      <c r="C118">
        <v>-2060.08</v>
      </c>
    </row>
    <row r="119" spans="1:3" x14ac:dyDescent="0.25">
      <c r="A119" s="33" t="s">
        <v>162</v>
      </c>
      <c r="B119" t="s">
        <v>75</v>
      </c>
      <c r="C119">
        <v>-2060.08</v>
      </c>
    </row>
    <row r="120" spans="1:3" x14ac:dyDescent="0.25">
      <c r="A120" s="33" t="s">
        <v>163</v>
      </c>
      <c r="B120" t="s">
        <v>76</v>
      </c>
      <c r="C120">
        <v>-2060.08</v>
      </c>
    </row>
    <row r="295" spans="3:3" x14ac:dyDescent="0.25">
      <c r="C295">
        <v>4.3</v>
      </c>
    </row>
    <row r="365" spans="3:3" x14ac:dyDescent="0.25">
      <c r="C365">
        <v>655.20000000000005</v>
      </c>
    </row>
    <row r="413" spans="2:2" x14ac:dyDescent="0.25">
      <c r="B413" t="s">
        <v>152</v>
      </c>
    </row>
  </sheetData>
  <autoFilter ref="A1:C112" xr:uid="{48490C5B-62B4-4DBB-98A5-BEEB61841630}">
    <sortState xmlns:xlrd2="http://schemas.microsoft.com/office/spreadsheetml/2017/richdata2" ref="A2:C112">
      <sortCondition ref="A1:A112"/>
    </sortState>
  </autoFilter>
  <sortState xmlns:xlrd2="http://schemas.microsoft.com/office/spreadsheetml/2017/richdata2" ref="A2:C474">
    <sortCondition ref="A2:A474"/>
  </sortState>
  <phoneticPr fontId="16" type="noConversion"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6594B-BE46-484D-9E84-1BAC1135F1E7}">
  <dimension ref="A1:E114"/>
  <sheetViews>
    <sheetView topLeftCell="A28" workbookViewId="0">
      <selection activeCell="E2" sqref="E2"/>
    </sheetView>
  </sheetViews>
  <sheetFormatPr defaultRowHeight="15" x14ac:dyDescent="0.25"/>
  <cols>
    <col min="1" max="1" width="10.7109375" style="33" bestFit="1" customWidth="1"/>
    <col min="2" max="2" width="27.28515625" bestFit="1" customWidth="1"/>
    <col min="5" max="5" width="12.140625" bestFit="1" customWidth="1"/>
    <col min="6" max="6" width="23.42578125" bestFit="1" customWidth="1"/>
    <col min="7" max="7" width="8.7109375" bestFit="1" customWidth="1"/>
    <col min="9" max="9" width="12.85546875" bestFit="1" customWidth="1"/>
    <col min="10" max="10" width="23.42578125" bestFit="1" customWidth="1"/>
    <col min="11" max="11" width="8.7109375" bestFit="1" customWidth="1"/>
  </cols>
  <sheetData>
    <row r="1" spans="1:5" x14ac:dyDescent="0.25">
      <c r="A1" s="33" t="s">
        <v>97</v>
      </c>
      <c r="B1" t="s">
        <v>98</v>
      </c>
      <c r="C1" t="s">
        <v>99</v>
      </c>
      <c r="E1">
        <f>SUM(C:C)</f>
        <v>-11516.070000000002</v>
      </c>
    </row>
    <row r="2" spans="1:5" x14ac:dyDescent="0.25">
      <c r="A2" s="33">
        <v>45046</v>
      </c>
      <c r="B2" t="s">
        <v>116</v>
      </c>
      <c r="C2">
        <v>-33.340000000000003</v>
      </c>
    </row>
    <row r="3" spans="1:5" x14ac:dyDescent="0.25">
      <c r="A3" s="33">
        <v>45046</v>
      </c>
      <c r="B3" t="s">
        <v>120</v>
      </c>
      <c r="C3">
        <v>-170</v>
      </c>
    </row>
    <row r="4" spans="1:5" x14ac:dyDescent="0.25">
      <c r="A4" s="33">
        <v>45046</v>
      </c>
      <c r="B4" t="s">
        <v>121</v>
      </c>
      <c r="C4">
        <v>-99</v>
      </c>
    </row>
    <row r="5" spans="1:5" x14ac:dyDescent="0.25">
      <c r="A5" s="33">
        <v>45047</v>
      </c>
      <c r="B5" t="s">
        <v>124</v>
      </c>
      <c r="C5">
        <v>-387.81</v>
      </c>
    </row>
    <row r="6" spans="1:5" x14ac:dyDescent="0.25">
      <c r="A6" s="33">
        <v>45047</v>
      </c>
      <c r="B6" t="s">
        <v>127</v>
      </c>
      <c r="C6">
        <v>-356.08</v>
      </c>
    </row>
    <row r="7" spans="1:5" x14ac:dyDescent="0.25">
      <c r="A7" s="33">
        <v>45047</v>
      </c>
      <c r="B7" t="s">
        <v>128</v>
      </c>
      <c r="C7">
        <v>-19.989999999999998</v>
      </c>
    </row>
    <row r="8" spans="1:5" x14ac:dyDescent="0.25">
      <c r="A8" s="33">
        <v>45048</v>
      </c>
      <c r="B8" t="s">
        <v>124</v>
      </c>
      <c r="C8">
        <v>-581.72</v>
      </c>
    </row>
    <row r="9" spans="1:5" x14ac:dyDescent="0.25">
      <c r="A9" s="33">
        <v>45075</v>
      </c>
      <c r="B9" t="s">
        <v>146</v>
      </c>
      <c r="C9">
        <v>-2762.92</v>
      </c>
    </row>
    <row r="10" spans="1:5" x14ac:dyDescent="0.25">
      <c r="A10" s="33">
        <v>45076</v>
      </c>
      <c r="B10" t="s">
        <v>147</v>
      </c>
      <c r="C10">
        <v>-2060.08</v>
      </c>
    </row>
    <row r="11" spans="1:5" x14ac:dyDescent="0.25">
      <c r="A11" s="33">
        <v>45084</v>
      </c>
      <c r="B11" t="s">
        <v>31</v>
      </c>
      <c r="C11">
        <v>2000</v>
      </c>
    </row>
    <row r="12" spans="1:5" x14ac:dyDescent="0.25">
      <c r="A12" s="33">
        <v>45084</v>
      </c>
      <c r="B12" t="s">
        <v>32</v>
      </c>
      <c r="C12">
        <v>2000</v>
      </c>
    </row>
    <row r="13" spans="1:5" x14ac:dyDescent="0.25">
      <c r="A13" s="33">
        <v>45086</v>
      </c>
      <c r="B13" t="s">
        <v>31</v>
      </c>
      <c r="C13">
        <v>1000</v>
      </c>
    </row>
    <row r="14" spans="1:5" x14ac:dyDescent="0.25">
      <c r="A14" s="33">
        <v>45107</v>
      </c>
      <c r="B14" t="s">
        <v>149</v>
      </c>
      <c r="C14">
        <v>2000</v>
      </c>
    </row>
    <row r="15" spans="1:5" x14ac:dyDescent="0.25">
      <c r="A15" s="33">
        <v>45107</v>
      </c>
      <c r="B15" t="s">
        <v>126</v>
      </c>
      <c r="C15">
        <v>-33.340000000000003</v>
      </c>
    </row>
    <row r="16" spans="1:5" x14ac:dyDescent="0.25">
      <c r="A16" s="33">
        <v>45108</v>
      </c>
      <c r="B16" t="s">
        <v>118</v>
      </c>
      <c r="C16">
        <v>-387.81</v>
      </c>
    </row>
    <row r="17" spans="1:3" x14ac:dyDescent="0.25">
      <c r="A17" s="33">
        <v>45108</v>
      </c>
      <c r="B17" t="s">
        <v>123</v>
      </c>
      <c r="C17">
        <v>-356.08</v>
      </c>
    </row>
    <row r="18" spans="1:3" x14ac:dyDescent="0.25">
      <c r="A18" s="33">
        <v>45109</v>
      </c>
      <c r="B18" t="s">
        <v>118</v>
      </c>
      <c r="C18">
        <v>-581.72</v>
      </c>
    </row>
    <row r="19" spans="1:3" x14ac:dyDescent="0.25">
      <c r="A19" s="33">
        <v>45136</v>
      </c>
      <c r="B19" t="s">
        <v>43</v>
      </c>
      <c r="C19">
        <v>-2060.08</v>
      </c>
    </row>
    <row r="20" spans="1:3" x14ac:dyDescent="0.25">
      <c r="A20" s="33">
        <v>45137</v>
      </c>
      <c r="B20" t="s">
        <v>89</v>
      </c>
      <c r="C20">
        <v>-2762.92</v>
      </c>
    </row>
    <row r="21" spans="1:3" x14ac:dyDescent="0.25">
      <c r="A21" s="33">
        <v>45139</v>
      </c>
      <c r="B21" t="s">
        <v>119</v>
      </c>
      <c r="C21">
        <v>-356.08</v>
      </c>
    </row>
    <row r="22" spans="1:3" x14ac:dyDescent="0.25">
      <c r="A22" s="33">
        <v>45140</v>
      </c>
      <c r="B22" t="s">
        <v>31</v>
      </c>
      <c r="C22">
        <v>1300</v>
      </c>
    </row>
    <row r="23" spans="1:3" x14ac:dyDescent="0.25">
      <c r="A23" s="33">
        <v>45140</v>
      </c>
      <c r="B23" t="s">
        <v>149</v>
      </c>
      <c r="C23">
        <v>2000</v>
      </c>
    </row>
    <row r="24" spans="1:3" x14ac:dyDescent="0.25">
      <c r="A24" s="33">
        <v>45141</v>
      </c>
      <c r="B24" t="s">
        <v>31</v>
      </c>
      <c r="C24">
        <v>1944</v>
      </c>
    </row>
    <row r="25" spans="1:3" x14ac:dyDescent="0.25">
      <c r="A25" s="33">
        <v>45142</v>
      </c>
      <c r="B25" t="s">
        <v>31</v>
      </c>
      <c r="C25">
        <v>1000</v>
      </c>
    </row>
    <row r="26" spans="1:3" x14ac:dyDescent="0.25">
      <c r="A26" s="33">
        <v>45149</v>
      </c>
      <c r="B26" t="s">
        <v>31</v>
      </c>
      <c r="C26">
        <v>500</v>
      </c>
    </row>
    <row r="27" spans="1:3" x14ac:dyDescent="0.25">
      <c r="A27" s="33">
        <v>45167</v>
      </c>
      <c r="B27" t="s">
        <v>44</v>
      </c>
      <c r="C27">
        <v>-2060.08</v>
      </c>
    </row>
    <row r="28" spans="1:3" x14ac:dyDescent="0.25">
      <c r="A28" s="33">
        <v>45168</v>
      </c>
      <c r="B28" t="s">
        <v>90</v>
      </c>
      <c r="C28">
        <v>-2762.92</v>
      </c>
    </row>
    <row r="29" spans="1:3" x14ac:dyDescent="0.25">
      <c r="A29" s="33">
        <v>45170</v>
      </c>
      <c r="B29" t="s">
        <v>148</v>
      </c>
      <c r="C29">
        <v>5000</v>
      </c>
    </row>
    <row r="30" spans="1:3" x14ac:dyDescent="0.25">
      <c r="A30" s="33">
        <v>45177</v>
      </c>
      <c r="B30" t="s">
        <v>31</v>
      </c>
      <c r="C30">
        <v>800</v>
      </c>
    </row>
    <row r="31" spans="1:3" x14ac:dyDescent="0.25">
      <c r="A31" s="33">
        <v>45198</v>
      </c>
      <c r="B31" t="s">
        <v>45</v>
      </c>
      <c r="C31">
        <v>-2060.08</v>
      </c>
    </row>
    <row r="32" spans="1:3" x14ac:dyDescent="0.25">
      <c r="A32" s="33">
        <v>45199</v>
      </c>
      <c r="B32" t="s">
        <v>91</v>
      </c>
      <c r="C32">
        <v>-2762.92</v>
      </c>
    </row>
    <row r="33" spans="1:3" x14ac:dyDescent="0.25">
      <c r="A33" s="33">
        <v>45199</v>
      </c>
      <c r="B33" t="s">
        <v>132</v>
      </c>
      <c r="C33">
        <v>-356.08</v>
      </c>
    </row>
    <row r="34" spans="1:3" x14ac:dyDescent="0.25">
      <c r="A34" s="33">
        <v>45203</v>
      </c>
      <c r="B34" t="s">
        <v>148</v>
      </c>
      <c r="C34">
        <v>1000</v>
      </c>
    </row>
    <row r="35" spans="1:3" x14ac:dyDescent="0.25">
      <c r="A35" s="33">
        <v>45205</v>
      </c>
      <c r="B35" t="s">
        <v>31</v>
      </c>
      <c r="C35">
        <v>1955</v>
      </c>
    </row>
    <row r="36" spans="1:3" x14ac:dyDescent="0.25">
      <c r="A36" s="33">
        <v>45206</v>
      </c>
      <c r="B36" t="s">
        <v>31</v>
      </c>
      <c r="C36">
        <v>2000</v>
      </c>
    </row>
    <row r="37" spans="1:3" x14ac:dyDescent="0.25">
      <c r="A37" s="33">
        <v>45228</v>
      </c>
      <c r="B37" t="s">
        <v>46</v>
      </c>
      <c r="C37">
        <v>-2060.08</v>
      </c>
    </row>
    <row r="38" spans="1:3" x14ac:dyDescent="0.25">
      <c r="A38" s="33">
        <v>45229</v>
      </c>
      <c r="B38" t="s">
        <v>92</v>
      </c>
      <c r="C38">
        <v>-2762.92</v>
      </c>
    </row>
    <row r="39" spans="1:3" x14ac:dyDescent="0.25">
      <c r="A39" s="33">
        <v>45237</v>
      </c>
      <c r="B39" t="s">
        <v>138</v>
      </c>
      <c r="C39">
        <v>1000</v>
      </c>
    </row>
    <row r="40" spans="1:3" x14ac:dyDescent="0.25">
      <c r="A40" s="33">
        <v>45238</v>
      </c>
      <c r="B40" t="s">
        <v>138</v>
      </c>
      <c r="C40">
        <v>2000</v>
      </c>
    </row>
    <row r="41" spans="1:3" x14ac:dyDescent="0.25">
      <c r="A41" s="33">
        <v>45239</v>
      </c>
      <c r="B41" t="s">
        <v>138</v>
      </c>
      <c r="C41">
        <v>1500</v>
      </c>
    </row>
    <row r="42" spans="1:3" x14ac:dyDescent="0.25">
      <c r="A42" s="33">
        <v>45259</v>
      </c>
      <c r="B42" t="s">
        <v>47</v>
      </c>
      <c r="C42">
        <v>-2060.08</v>
      </c>
    </row>
    <row r="43" spans="1:3" x14ac:dyDescent="0.25">
      <c r="A43" s="33">
        <v>45260</v>
      </c>
      <c r="B43" t="s">
        <v>93</v>
      </c>
      <c r="C43">
        <v>-2762.92</v>
      </c>
    </row>
    <row r="44" spans="1:3" x14ac:dyDescent="0.25">
      <c r="A44" s="33">
        <v>45269</v>
      </c>
      <c r="B44" t="s">
        <v>31</v>
      </c>
      <c r="C44">
        <v>1950</v>
      </c>
    </row>
    <row r="45" spans="1:3" x14ac:dyDescent="0.25">
      <c r="A45" s="33">
        <v>45272</v>
      </c>
      <c r="B45" t="s">
        <v>31</v>
      </c>
      <c r="C45">
        <v>500</v>
      </c>
    </row>
    <row r="46" spans="1:3" x14ac:dyDescent="0.25">
      <c r="A46" s="33">
        <v>45288</v>
      </c>
      <c r="B46" t="s">
        <v>31</v>
      </c>
      <c r="C46">
        <v>1500</v>
      </c>
    </row>
    <row r="47" spans="1:3" x14ac:dyDescent="0.25">
      <c r="A47" s="33">
        <v>45289</v>
      </c>
      <c r="B47" t="s">
        <v>48</v>
      </c>
      <c r="C47">
        <v>-2060.08</v>
      </c>
    </row>
    <row r="48" spans="1:3" x14ac:dyDescent="0.25">
      <c r="A48" s="33">
        <v>45290</v>
      </c>
      <c r="B48" t="s">
        <v>94</v>
      </c>
      <c r="C48">
        <v>-2762.92</v>
      </c>
    </row>
    <row r="49" spans="1:3" x14ac:dyDescent="0.25">
      <c r="A49" s="33">
        <v>45293</v>
      </c>
      <c r="B49" t="s">
        <v>31</v>
      </c>
      <c r="C49">
        <v>500</v>
      </c>
    </row>
    <row r="50" spans="1:3" x14ac:dyDescent="0.25">
      <c r="A50" s="33">
        <v>45303</v>
      </c>
      <c r="B50" t="s">
        <v>31</v>
      </c>
      <c r="C50">
        <v>2000</v>
      </c>
    </row>
    <row r="51" spans="1:3" x14ac:dyDescent="0.25">
      <c r="A51" s="33">
        <v>45310</v>
      </c>
      <c r="B51" t="s">
        <v>31</v>
      </c>
      <c r="C51">
        <v>2000</v>
      </c>
    </row>
    <row r="52" spans="1:3" x14ac:dyDescent="0.25">
      <c r="A52" s="33">
        <v>45311</v>
      </c>
      <c r="B52" t="s">
        <v>31</v>
      </c>
      <c r="C52">
        <v>500</v>
      </c>
    </row>
    <row r="53" spans="1:3" x14ac:dyDescent="0.25">
      <c r="A53" s="33">
        <v>45320</v>
      </c>
      <c r="B53" t="s">
        <v>49</v>
      </c>
      <c r="C53">
        <v>-2060.08</v>
      </c>
    </row>
    <row r="54" spans="1:3" x14ac:dyDescent="0.25">
      <c r="A54" s="33">
        <v>45321</v>
      </c>
      <c r="B54" t="s">
        <v>95</v>
      </c>
      <c r="C54">
        <v>-2762.92</v>
      </c>
    </row>
    <row r="55" spans="1:3" x14ac:dyDescent="0.25">
      <c r="A55" s="33">
        <v>45331</v>
      </c>
      <c r="B55" t="s">
        <v>31</v>
      </c>
      <c r="C55">
        <v>1413</v>
      </c>
    </row>
    <row r="56" spans="1:3" x14ac:dyDescent="0.25">
      <c r="A56" s="33">
        <v>45334</v>
      </c>
      <c r="B56" t="s">
        <v>31</v>
      </c>
      <c r="C56">
        <v>500</v>
      </c>
    </row>
    <row r="57" spans="1:3" x14ac:dyDescent="0.25">
      <c r="A57" s="33">
        <v>45346</v>
      </c>
      <c r="B57" t="s">
        <v>31</v>
      </c>
      <c r="C57">
        <v>1500</v>
      </c>
    </row>
    <row r="58" spans="1:3" x14ac:dyDescent="0.25">
      <c r="A58" s="33">
        <v>45351</v>
      </c>
      <c r="B58" t="s">
        <v>31</v>
      </c>
      <c r="C58">
        <v>2000</v>
      </c>
    </row>
    <row r="59" spans="1:3" x14ac:dyDescent="0.25">
      <c r="A59" s="33">
        <v>45351</v>
      </c>
      <c r="B59" t="s">
        <v>143</v>
      </c>
      <c r="C59">
        <v>-2762.92</v>
      </c>
    </row>
    <row r="60" spans="1:3" x14ac:dyDescent="0.25">
      <c r="A60" s="33">
        <v>45351</v>
      </c>
      <c r="B60" t="s">
        <v>50</v>
      </c>
      <c r="C60">
        <v>-2060.08</v>
      </c>
    </row>
    <row r="61" spans="1:3" x14ac:dyDescent="0.25">
      <c r="A61" s="33">
        <v>45369</v>
      </c>
      <c r="B61" t="s">
        <v>144</v>
      </c>
      <c r="C61">
        <v>500</v>
      </c>
    </row>
    <row r="62" spans="1:3" x14ac:dyDescent="0.25">
      <c r="A62" s="33">
        <v>45376</v>
      </c>
      <c r="B62" t="s">
        <v>144</v>
      </c>
      <c r="C62">
        <v>1800</v>
      </c>
    </row>
    <row r="63" spans="1:3" x14ac:dyDescent="0.25">
      <c r="A63" s="33">
        <v>45380</v>
      </c>
      <c r="B63" t="s">
        <v>51</v>
      </c>
      <c r="C63">
        <v>-2060.08</v>
      </c>
    </row>
    <row r="64" spans="1:3" x14ac:dyDescent="0.25">
      <c r="A64" s="33">
        <v>45387</v>
      </c>
      <c r="B64" t="s">
        <v>144</v>
      </c>
      <c r="C64">
        <v>1000</v>
      </c>
    </row>
    <row r="65" spans="1:3" x14ac:dyDescent="0.25">
      <c r="A65" s="33">
        <v>45388</v>
      </c>
      <c r="B65" t="s">
        <v>144</v>
      </c>
      <c r="C65">
        <v>1000</v>
      </c>
    </row>
    <row r="66" spans="1:3" x14ac:dyDescent="0.25">
      <c r="A66" s="33">
        <v>45411</v>
      </c>
      <c r="B66" t="s">
        <v>52</v>
      </c>
      <c r="C66">
        <v>-2060.08</v>
      </c>
    </row>
    <row r="67" spans="1:3" x14ac:dyDescent="0.25">
      <c r="A67" s="33">
        <v>45412</v>
      </c>
      <c r="B67" t="s">
        <v>144</v>
      </c>
      <c r="C67">
        <v>1000</v>
      </c>
    </row>
    <row r="68" spans="1:3" x14ac:dyDescent="0.25">
      <c r="A68" s="33">
        <v>45421</v>
      </c>
      <c r="B68" t="s">
        <v>145</v>
      </c>
      <c r="C68">
        <v>2000</v>
      </c>
    </row>
    <row r="69" spans="1:3" x14ac:dyDescent="0.25">
      <c r="A69" s="33">
        <v>45441</v>
      </c>
      <c r="B69" t="s">
        <v>53</v>
      </c>
      <c r="C69">
        <v>-2060.08</v>
      </c>
    </row>
    <row r="70" spans="1:3" x14ac:dyDescent="0.25">
      <c r="A70" s="33">
        <v>45450</v>
      </c>
      <c r="B70" t="s">
        <v>145</v>
      </c>
      <c r="C70">
        <v>2000</v>
      </c>
    </row>
    <row r="71" spans="1:3" x14ac:dyDescent="0.25">
      <c r="A71" s="33">
        <v>45472</v>
      </c>
      <c r="B71" t="s">
        <v>54</v>
      </c>
      <c r="C71">
        <v>-2060.08</v>
      </c>
    </row>
    <row r="72" spans="1:3" x14ac:dyDescent="0.25">
      <c r="A72" s="33">
        <v>45477</v>
      </c>
      <c r="B72" t="s">
        <v>144</v>
      </c>
      <c r="C72">
        <v>2000</v>
      </c>
    </row>
    <row r="73" spans="1:3" x14ac:dyDescent="0.25">
      <c r="A73" s="33">
        <v>45502</v>
      </c>
      <c r="B73" t="s">
        <v>55</v>
      </c>
      <c r="C73">
        <v>-2060.08</v>
      </c>
    </row>
    <row r="74" spans="1:3" x14ac:dyDescent="0.25">
      <c r="A74" s="33">
        <v>45516</v>
      </c>
      <c r="B74" t="s">
        <v>144</v>
      </c>
      <c r="C74">
        <v>500</v>
      </c>
    </row>
    <row r="75" spans="1:3" x14ac:dyDescent="0.25">
      <c r="A75" s="33">
        <v>45518</v>
      </c>
      <c r="B75" t="s">
        <v>144</v>
      </c>
      <c r="C75">
        <v>2000</v>
      </c>
    </row>
    <row r="76" spans="1:3" x14ac:dyDescent="0.25">
      <c r="A76" s="33">
        <v>45533</v>
      </c>
      <c r="B76" t="s">
        <v>56</v>
      </c>
      <c r="C76">
        <v>-2060.08</v>
      </c>
    </row>
    <row r="77" spans="1:3" x14ac:dyDescent="0.25">
      <c r="A77" s="33">
        <v>45534</v>
      </c>
      <c r="B77" t="s">
        <v>144</v>
      </c>
      <c r="C77">
        <v>1500</v>
      </c>
    </row>
    <row r="78" spans="1:3" x14ac:dyDescent="0.25">
      <c r="A78" s="33">
        <v>45551</v>
      </c>
      <c r="B78" t="s">
        <v>144</v>
      </c>
      <c r="C78">
        <v>500</v>
      </c>
    </row>
    <row r="79" spans="1:3" x14ac:dyDescent="0.25">
      <c r="A79" s="33">
        <v>45564</v>
      </c>
      <c r="B79" t="s">
        <v>57</v>
      </c>
      <c r="C79">
        <v>-2060.08</v>
      </c>
    </row>
    <row r="80" spans="1:3" hidden="1" x14ac:dyDescent="0.25"/>
    <row r="81" spans="1:3" hidden="1" x14ac:dyDescent="0.25"/>
    <row r="82" spans="1:3" hidden="1" x14ac:dyDescent="0.25"/>
    <row r="83" spans="1:3" hidden="1" x14ac:dyDescent="0.25"/>
    <row r="84" spans="1:3" hidden="1" x14ac:dyDescent="0.25"/>
    <row r="85" spans="1:3" hidden="1" x14ac:dyDescent="0.25">
      <c r="A85" s="33" t="s">
        <v>109</v>
      </c>
      <c r="B85">
        <v>45536</v>
      </c>
      <c r="C85">
        <v>-3607.0600000000013</v>
      </c>
    </row>
    <row r="86" spans="1:3" hidden="1" x14ac:dyDescent="0.25"/>
    <row r="87" spans="1:3" x14ac:dyDescent="0.25">
      <c r="A87" s="33">
        <v>45571</v>
      </c>
      <c r="B87" t="s">
        <v>144</v>
      </c>
      <c r="C87">
        <v>2000</v>
      </c>
    </row>
    <row r="88" spans="1:3" x14ac:dyDescent="0.25">
      <c r="A88" s="33">
        <v>45572</v>
      </c>
      <c r="B88" t="s">
        <v>144</v>
      </c>
      <c r="C88">
        <v>607</v>
      </c>
    </row>
    <row r="89" spans="1:3" x14ac:dyDescent="0.25">
      <c r="A89" s="33">
        <v>45658</v>
      </c>
      <c r="B89" t="s">
        <v>155</v>
      </c>
      <c r="C89">
        <v>-1050.3000000000011</v>
      </c>
    </row>
    <row r="90" spans="1:3" x14ac:dyDescent="0.25">
      <c r="A90" s="33">
        <v>45686</v>
      </c>
      <c r="B90" t="s">
        <v>61</v>
      </c>
      <c r="C90">
        <v>-2060.08</v>
      </c>
    </row>
    <row r="91" spans="1:3" x14ac:dyDescent="0.25">
      <c r="A91" s="33">
        <v>45686</v>
      </c>
      <c r="B91" t="s">
        <v>144</v>
      </c>
      <c r="C91">
        <v>2060</v>
      </c>
    </row>
    <row r="92" spans="1:3" x14ac:dyDescent="0.25">
      <c r="A92" s="33">
        <v>45806</v>
      </c>
      <c r="B92" t="s">
        <v>65</v>
      </c>
      <c r="C92">
        <v>-2060.08</v>
      </c>
    </row>
    <row r="93" spans="1:3" x14ac:dyDescent="0.25">
      <c r="A93" s="33">
        <v>45806</v>
      </c>
      <c r="B93" t="s">
        <v>144</v>
      </c>
      <c r="C93">
        <v>1000</v>
      </c>
    </row>
    <row r="94" spans="1:3" x14ac:dyDescent="0.25">
      <c r="A94" s="33">
        <v>45808</v>
      </c>
      <c r="B94" t="s">
        <v>144</v>
      </c>
      <c r="C94">
        <v>1060</v>
      </c>
    </row>
    <row r="95" spans="1:3" x14ac:dyDescent="0.25">
      <c r="A95" s="33">
        <v>45594</v>
      </c>
      <c r="B95" t="s">
        <v>58</v>
      </c>
      <c r="C95">
        <v>-2060.08</v>
      </c>
    </row>
    <row r="96" spans="1:3" x14ac:dyDescent="0.25">
      <c r="A96" s="33">
        <v>45595</v>
      </c>
      <c r="B96" t="s">
        <v>150</v>
      </c>
      <c r="C96">
        <v>1900</v>
      </c>
    </row>
    <row r="97" spans="1:3" x14ac:dyDescent="0.25">
      <c r="A97" s="33">
        <v>45595</v>
      </c>
      <c r="B97" t="s">
        <v>151</v>
      </c>
      <c r="C97">
        <v>170</v>
      </c>
    </row>
    <row r="98" spans="1:3" x14ac:dyDescent="0.25">
      <c r="A98" s="33">
        <v>45717</v>
      </c>
      <c r="B98" t="s">
        <v>62</v>
      </c>
      <c r="C98">
        <v>-2060.08</v>
      </c>
    </row>
    <row r="99" spans="1:3" x14ac:dyDescent="0.25">
      <c r="A99" s="33">
        <v>45718</v>
      </c>
      <c r="B99" t="s">
        <v>144</v>
      </c>
      <c r="C99">
        <v>2060</v>
      </c>
    </row>
    <row r="100" spans="1:3" x14ac:dyDescent="0.25">
      <c r="A100" s="33">
        <v>45837</v>
      </c>
      <c r="B100" t="s">
        <v>66</v>
      </c>
      <c r="C100">
        <v>-2060.08</v>
      </c>
    </row>
    <row r="101" spans="1:3" x14ac:dyDescent="0.25">
      <c r="A101" s="33">
        <v>45625</v>
      </c>
      <c r="B101" t="s">
        <v>59</v>
      </c>
      <c r="C101">
        <v>-2060.08</v>
      </c>
    </row>
    <row r="102" spans="1:3" x14ac:dyDescent="0.25">
      <c r="A102" s="33">
        <v>45628</v>
      </c>
      <c r="B102" t="s">
        <v>144</v>
      </c>
      <c r="C102">
        <v>2000</v>
      </c>
    </row>
    <row r="103" spans="1:3" x14ac:dyDescent="0.25">
      <c r="A103" s="33">
        <v>45745</v>
      </c>
      <c r="B103" t="s">
        <v>63</v>
      </c>
      <c r="C103">
        <v>-2060.08</v>
      </c>
    </row>
    <row r="104" spans="1:3" x14ac:dyDescent="0.25">
      <c r="A104" s="33">
        <v>45745</v>
      </c>
      <c r="B104" t="s">
        <v>144</v>
      </c>
      <c r="C104">
        <v>2060</v>
      </c>
    </row>
    <row r="105" spans="1:3" x14ac:dyDescent="0.25">
      <c r="A105" s="33">
        <v>45867</v>
      </c>
      <c r="B105" t="s">
        <v>67</v>
      </c>
      <c r="C105">
        <v>-2060.08</v>
      </c>
    </row>
    <row r="106" spans="1:3" x14ac:dyDescent="0.25">
      <c r="A106" s="33">
        <v>45627</v>
      </c>
      <c r="B106" t="s">
        <v>154</v>
      </c>
      <c r="C106">
        <v>-1050.2200000000012</v>
      </c>
    </row>
    <row r="107" spans="1:3" x14ac:dyDescent="0.25">
      <c r="A107" s="33">
        <v>45655</v>
      </c>
      <c r="B107" t="s">
        <v>60</v>
      </c>
      <c r="C107">
        <v>-2060.08</v>
      </c>
    </row>
    <row r="108" spans="1:3" x14ac:dyDescent="0.25">
      <c r="A108" s="33">
        <v>45656</v>
      </c>
      <c r="B108" t="s">
        <v>144</v>
      </c>
      <c r="C108">
        <v>2060</v>
      </c>
    </row>
    <row r="109" spans="1:3" x14ac:dyDescent="0.25">
      <c r="A109" s="33">
        <v>45776</v>
      </c>
      <c r="B109" t="s">
        <v>64</v>
      </c>
      <c r="C109">
        <v>-2060.08</v>
      </c>
    </row>
    <row r="110" spans="1:3" x14ac:dyDescent="0.25">
      <c r="A110" s="33">
        <v>45779</v>
      </c>
      <c r="B110" t="s">
        <v>144</v>
      </c>
      <c r="C110">
        <v>2060</v>
      </c>
    </row>
    <row r="111" spans="1:3" x14ac:dyDescent="0.25">
      <c r="A111" s="33">
        <v>45777</v>
      </c>
      <c r="B111" t="s">
        <v>153</v>
      </c>
      <c r="C111">
        <v>200</v>
      </c>
    </row>
    <row r="112" spans="1:3" x14ac:dyDescent="0.25">
      <c r="A112" s="33">
        <v>45898</v>
      </c>
      <c r="B112" t="s">
        <v>68</v>
      </c>
      <c r="C112">
        <v>-2060.08</v>
      </c>
    </row>
    <row r="113" spans="1:1" x14ac:dyDescent="0.25">
      <c r="A113"/>
    </row>
    <row r="114" spans="1:1" x14ac:dyDescent="0.25">
      <c r="A114"/>
    </row>
  </sheetData>
  <autoFilter ref="A1:C79" xr:uid="{9D06594B-BE46-484D-9E84-1BAC1135F1E7}">
    <sortState xmlns:xlrd2="http://schemas.microsoft.com/office/spreadsheetml/2017/richdata2" ref="A2:C79">
      <sortCondition ref="A1:A79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Recebidos</vt:lpstr>
      <vt:lpstr>Cred 40</vt:lpstr>
      <vt:lpstr>Cred 19</vt:lpstr>
      <vt:lpstr>01-04 de 23</vt:lpstr>
      <vt:lpstr>05-08 de 23</vt:lpstr>
      <vt:lpstr>09-12 de 23</vt:lpstr>
      <vt:lpstr>01-04 de 24</vt:lpstr>
      <vt:lpstr>05-08 de 24</vt:lpstr>
      <vt:lpstr>09-12 de 24</vt:lpstr>
      <vt:lpstr>Completa_2</vt:lpstr>
      <vt:lpstr>Completa</vt:lpstr>
      <vt:lpstr>Completa Juros</vt:lpstr>
      <vt:lpstr>Completa s-juros</vt:lpstr>
      <vt:lpstr>Planilha2</vt:lpstr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River</dc:creator>
  <cp:keywords/>
  <dc:description/>
  <cp:lastModifiedBy>Samuel Neves</cp:lastModifiedBy>
  <cp:revision/>
  <dcterms:created xsi:type="dcterms:W3CDTF">2023-07-02T18:21:48Z</dcterms:created>
  <dcterms:modified xsi:type="dcterms:W3CDTF">2026-03-11T20:00:32Z</dcterms:modified>
  <cp:category/>
  <cp:contentStatus/>
</cp:coreProperties>
</file>